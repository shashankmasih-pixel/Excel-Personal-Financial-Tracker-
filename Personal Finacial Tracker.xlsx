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BEABFAD6-33FA-4E7D-9151-6BBB73CE8103}" xr6:coauthVersionLast="47" xr6:coauthVersionMax="47" xr10:uidLastSave="{00000000-0000-0000-0000-000000000000}"/>
  <bookViews>
    <workbookView xWindow="-108" yWindow="-108" windowWidth="23256" windowHeight="12456" xr2:uid="{00000000-000D-0000-FFFF-FFFF00000000}"/>
  </bookViews>
  <sheets>
    <sheet name="Report" sheetId="3" r:id="rId1"/>
    <sheet name="Bank Statement" sheetId="2" r:id="rId2"/>
    <sheet name="Category" sheetId="1" r:id="rId3"/>
  </sheets>
  <definedNames>
    <definedName name="Slicer_Months__Date">#N/A</definedName>
    <definedName name="Slicer_Years__Date">#N/A</definedName>
    <definedName name="Subcategories">Categories[Subcategory]</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6" i="2" l="1"/>
  <c r="F177" i="2" s="1"/>
  <c r="F178" i="2" s="1"/>
  <c r="F179" i="2" s="1"/>
  <c r="F180" i="2" s="1"/>
  <c r="F181" i="2" s="1"/>
  <c r="F182" i="2" s="1"/>
  <c r="F183" i="2" s="1"/>
  <c r="F184" i="2" s="1"/>
  <c r="F185" i="2" s="1"/>
  <c r="F186" i="2" s="1"/>
  <c r="F187" i="2" s="1"/>
  <c r="F188" i="2" s="1"/>
  <c r="F189" i="2" s="1"/>
  <c r="F190" i="2" s="1"/>
  <c r="F191" i="2" s="1"/>
  <c r="F192" i="2" s="1"/>
  <c r="F193" i="2" s="1"/>
  <c r="F194" i="2" s="1"/>
  <c r="F195" i="2" s="1"/>
  <c r="F196" i="2" s="1"/>
  <c r="F197" i="2" s="1"/>
  <c r="F198" i="2" s="1"/>
  <c r="F199" i="2" s="1"/>
  <c r="F200" i="2" s="1"/>
  <c r="F201" i="2" s="1"/>
  <c r="F202" i="2" s="1"/>
  <c r="F203" i="2" s="1"/>
  <c r="F204" i="2" s="1"/>
  <c r="F205" i="2" s="1"/>
  <c r="F206" i="2" s="1"/>
  <c r="F207" i="2" s="1"/>
  <c r="F208" i="2" s="1"/>
  <c r="F209" i="2" s="1"/>
  <c r="F210" i="2" s="1"/>
  <c r="F211" i="2" s="1"/>
  <c r="F212" i="2" s="1"/>
  <c r="F213" i="2" s="1"/>
  <c r="F214" i="2" s="1"/>
  <c r="F215" i="2" s="1"/>
  <c r="F216" i="2" s="1"/>
  <c r="F217" i="2" s="1"/>
  <c r="F218" i="2" s="1"/>
  <c r="F219" i="2" s="1"/>
  <c r="F220" i="2" s="1"/>
  <c r="F221" i="2" s="1"/>
  <c r="F222" i="2" s="1"/>
  <c r="F223" i="2" s="1"/>
  <c r="F224" i="2" s="1"/>
  <c r="F225" i="2" s="1"/>
  <c r="F226" i="2" s="1"/>
  <c r="F227" i="2" s="1"/>
  <c r="F228" i="2" s="1"/>
  <c r="F229" i="2" s="1"/>
  <c r="F230" i="2" s="1"/>
  <c r="F231" i="2" s="1"/>
  <c r="F232" i="2" s="1"/>
  <c r="F233" i="2" s="1"/>
  <c r="F234" i="2" s="1"/>
  <c r="F235" i="2" s="1"/>
  <c r="F236" i="2" s="1"/>
  <c r="F237" i="2" s="1"/>
  <c r="F238" i="2" s="1"/>
  <c r="F239" i="2" s="1"/>
  <c r="F240" i="2" s="1"/>
  <c r="F241" i="2" s="1"/>
  <c r="F242" i="2" s="1"/>
  <c r="F243" i="2" s="1"/>
  <c r="F244" i="2" s="1"/>
  <c r="F245" i="2" s="1"/>
  <c r="F246" i="2" s="1"/>
  <c r="F247" i="2" s="1"/>
  <c r="F248" i="2" s="1"/>
  <c r="F249" i="2" s="1"/>
  <c r="F250" i="2" s="1"/>
  <c r="F251" i="2" s="1"/>
  <c r="F252" i="2" s="1"/>
  <c r="F253" i="2" s="1"/>
  <c r="F254" i="2" s="1"/>
  <c r="F255" i="2" s="1"/>
  <c r="F256" i="2" s="1"/>
  <c r="F257" i="2" s="1"/>
  <c r="F258" i="2" s="1"/>
  <c r="F259" i="2" s="1"/>
  <c r="F260" i="2" s="1"/>
  <c r="F261" i="2" s="1"/>
  <c r="F262" i="2" s="1"/>
  <c r="F263" i="2" s="1"/>
  <c r="F264" i="2" s="1"/>
  <c r="F265" i="2" s="1"/>
  <c r="F266" i="2" s="1"/>
  <c r="F267" i="2" s="1"/>
  <c r="F268" i="2" s="1"/>
  <c r="F269" i="2" s="1"/>
  <c r="F270" i="2" s="1"/>
  <c r="F271" i="2" s="1"/>
  <c r="F272" i="2" s="1"/>
  <c r="F273" i="2" s="1"/>
  <c r="F274" i="2" s="1"/>
  <c r="F275" i="2" s="1"/>
  <c r="F276" i="2" s="1"/>
  <c r="F277" i="2" s="1"/>
  <c r="F278" i="2" s="1"/>
  <c r="F279" i="2" s="1"/>
  <c r="F280" i="2" s="1"/>
  <c r="F281" i="2" s="1"/>
  <c r="F282" i="2" s="1"/>
  <c r="F283" i="2" s="1"/>
  <c r="F284" i="2" s="1"/>
  <c r="F285" i="2" s="1"/>
  <c r="F286" i="2" s="1"/>
  <c r="F287" i="2" s="1"/>
  <c r="F288" i="2" s="1"/>
  <c r="F289" i="2" s="1"/>
  <c r="F290" i="2" s="1"/>
  <c r="F291" i="2" s="1"/>
  <c r="F292" i="2" s="1"/>
  <c r="F293" i="2" s="1"/>
  <c r="F294" i="2" s="1"/>
  <c r="F295" i="2" s="1"/>
  <c r="F296" i="2" s="1"/>
  <c r="F297" i="2" s="1"/>
  <c r="F298" i="2" s="1"/>
  <c r="F299" i="2" s="1"/>
  <c r="F300" i="2" s="1"/>
  <c r="F301" i="2" s="1"/>
  <c r="F302" i="2" s="1"/>
  <c r="F303" i="2" s="1"/>
  <c r="F304" i="2" s="1"/>
  <c r="F305" i="2" s="1"/>
  <c r="F306" i="2" s="1"/>
  <c r="F307" i="2" s="1"/>
  <c r="F308" i="2" s="1"/>
  <c r="F309" i="2" s="1"/>
  <c r="F310" i="2" s="1"/>
  <c r="F311" i="2" s="1"/>
  <c r="F312" i="2" s="1"/>
  <c r="F313" i="2" s="1"/>
  <c r="F314" i="2" s="1"/>
  <c r="F315" i="2" s="1"/>
  <c r="F316" i="2" s="1"/>
  <c r="F317" i="2" s="1"/>
  <c r="F318" i="2" s="1"/>
  <c r="F319" i="2" s="1"/>
  <c r="F320" i="2" s="1"/>
  <c r="F321" i="2" s="1"/>
  <c r="F322" i="2" s="1"/>
  <c r="F323" i="2" s="1"/>
  <c r="F324" i="2" s="1"/>
  <c r="F325" i="2" s="1"/>
  <c r="F326" i="2" s="1"/>
  <c r="F327" i="2" s="1"/>
  <c r="F328" i="2" s="1"/>
  <c r="F329" i="2" s="1"/>
  <c r="F330" i="2" s="1"/>
  <c r="F331" i="2" s="1"/>
  <c r="F332" i="2" s="1"/>
  <c r="F333" i="2" s="1"/>
  <c r="F334" i="2" s="1"/>
  <c r="F335" i="2" s="1"/>
  <c r="F336" i="2" s="1"/>
  <c r="F337" i="2" s="1"/>
  <c r="F338" i="2" s="1"/>
  <c r="F339" i="2" s="1"/>
  <c r="F340" i="2" s="1"/>
  <c r="F341" i="2" s="1"/>
  <c r="F342" i="2" s="1"/>
  <c r="F343" i="2" s="1"/>
  <c r="H176" i="2"/>
  <c r="J176" i="2"/>
  <c r="H177" i="2"/>
  <c r="J177" i="2"/>
  <c r="H178" i="2"/>
  <c r="J178" i="2"/>
  <c r="H179" i="2"/>
  <c r="J179" i="2"/>
  <c r="H180" i="2"/>
  <c r="J180" i="2"/>
  <c r="H181" i="2"/>
  <c r="J181" i="2"/>
  <c r="H182" i="2"/>
  <c r="J182" i="2"/>
  <c r="H183" i="2"/>
  <c r="J183" i="2"/>
  <c r="H184" i="2"/>
  <c r="J184" i="2"/>
  <c r="H185" i="2"/>
  <c r="J185" i="2"/>
  <c r="H186" i="2"/>
  <c r="J186" i="2"/>
  <c r="H187" i="2"/>
  <c r="J187" i="2"/>
  <c r="H188" i="2"/>
  <c r="J188" i="2"/>
  <c r="H189" i="2"/>
  <c r="J189" i="2"/>
  <c r="H190" i="2"/>
  <c r="J190" i="2"/>
  <c r="H191" i="2"/>
  <c r="J191" i="2"/>
  <c r="H192" i="2"/>
  <c r="J192" i="2"/>
  <c r="H193" i="2"/>
  <c r="J193" i="2"/>
  <c r="H194" i="2"/>
  <c r="J194" i="2"/>
  <c r="H195" i="2"/>
  <c r="J195" i="2"/>
  <c r="H196" i="2"/>
  <c r="J196" i="2"/>
  <c r="H197" i="2"/>
  <c r="J197" i="2"/>
  <c r="H198" i="2"/>
  <c r="J198" i="2"/>
  <c r="H199" i="2"/>
  <c r="J199" i="2"/>
  <c r="H200" i="2"/>
  <c r="J200" i="2"/>
  <c r="H201" i="2"/>
  <c r="J201" i="2"/>
  <c r="H202" i="2"/>
  <c r="J202" i="2"/>
  <c r="H203" i="2"/>
  <c r="J203" i="2"/>
  <c r="H204" i="2"/>
  <c r="J204" i="2"/>
  <c r="H205" i="2"/>
  <c r="J205" i="2"/>
  <c r="H206" i="2"/>
  <c r="J206" i="2"/>
  <c r="H207" i="2"/>
  <c r="J207" i="2"/>
  <c r="H208" i="2"/>
  <c r="J208" i="2"/>
  <c r="H209" i="2"/>
  <c r="J209" i="2"/>
  <c r="H210" i="2"/>
  <c r="J210" i="2"/>
  <c r="H211" i="2"/>
  <c r="J211" i="2"/>
  <c r="H212" i="2"/>
  <c r="J212" i="2"/>
  <c r="H213" i="2"/>
  <c r="J213" i="2"/>
  <c r="H214" i="2"/>
  <c r="J214" i="2"/>
  <c r="H215" i="2"/>
  <c r="J215" i="2"/>
  <c r="H216" i="2"/>
  <c r="J216" i="2"/>
  <c r="H217" i="2"/>
  <c r="J217" i="2"/>
  <c r="H218" i="2"/>
  <c r="J218" i="2"/>
  <c r="H219" i="2"/>
  <c r="J219" i="2"/>
  <c r="H220" i="2"/>
  <c r="J220" i="2"/>
  <c r="H221" i="2"/>
  <c r="J221" i="2"/>
  <c r="H222" i="2"/>
  <c r="J222" i="2"/>
  <c r="H223" i="2"/>
  <c r="J223" i="2"/>
  <c r="H224" i="2"/>
  <c r="J224" i="2"/>
  <c r="H225" i="2"/>
  <c r="J225" i="2"/>
  <c r="H226" i="2"/>
  <c r="J226" i="2"/>
  <c r="H227" i="2"/>
  <c r="J227" i="2"/>
  <c r="H228" i="2"/>
  <c r="J228" i="2"/>
  <c r="H229" i="2"/>
  <c r="J229" i="2"/>
  <c r="H230" i="2"/>
  <c r="J230" i="2"/>
  <c r="H231" i="2"/>
  <c r="J231" i="2"/>
  <c r="H232" i="2"/>
  <c r="J232" i="2"/>
  <c r="H233" i="2"/>
  <c r="J233" i="2"/>
  <c r="H234" i="2"/>
  <c r="J234" i="2"/>
  <c r="H235" i="2"/>
  <c r="J235" i="2"/>
  <c r="H236" i="2"/>
  <c r="J236" i="2"/>
  <c r="H237" i="2"/>
  <c r="J237" i="2"/>
  <c r="H238" i="2"/>
  <c r="J238" i="2"/>
  <c r="H239" i="2"/>
  <c r="J239" i="2"/>
  <c r="H240" i="2"/>
  <c r="J240" i="2"/>
  <c r="H241" i="2"/>
  <c r="J241" i="2"/>
  <c r="H242" i="2"/>
  <c r="J242" i="2"/>
  <c r="H243" i="2"/>
  <c r="J243" i="2"/>
  <c r="H244" i="2"/>
  <c r="J244" i="2"/>
  <c r="H245" i="2"/>
  <c r="J245" i="2"/>
  <c r="H246" i="2"/>
  <c r="J246" i="2"/>
  <c r="H247" i="2"/>
  <c r="J247" i="2"/>
  <c r="H248" i="2"/>
  <c r="J248" i="2"/>
  <c r="H249" i="2"/>
  <c r="J249" i="2"/>
  <c r="H250" i="2"/>
  <c r="J250" i="2"/>
  <c r="H251" i="2"/>
  <c r="J251" i="2"/>
  <c r="H252" i="2"/>
  <c r="J252" i="2"/>
  <c r="H253" i="2"/>
  <c r="J253" i="2"/>
  <c r="H254" i="2"/>
  <c r="J254" i="2"/>
  <c r="H255" i="2"/>
  <c r="J255" i="2"/>
  <c r="H256" i="2"/>
  <c r="J256" i="2"/>
  <c r="H257" i="2"/>
  <c r="J257" i="2"/>
  <c r="H258" i="2"/>
  <c r="J258" i="2"/>
  <c r="H259" i="2"/>
  <c r="J259" i="2"/>
  <c r="H260" i="2"/>
  <c r="J260" i="2"/>
  <c r="H261" i="2"/>
  <c r="J261" i="2"/>
  <c r="H262" i="2"/>
  <c r="J262" i="2"/>
  <c r="H263" i="2"/>
  <c r="J263" i="2"/>
  <c r="H264" i="2"/>
  <c r="J264" i="2"/>
  <c r="H265" i="2"/>
  <c r="J265" i="2"/>
  <c r="H266" i="2"/>
  <c r="J266" i="2"/>
  <c r="H267" i="2"/>
  <c r="J267" i="2"/>
  <c r="H268" i="2"/>
  <c r="J268" i="2"/>
  <c r="H269" i="2"/>
  <c r="J269" i="2"/>
  <c r="H270" i="2"/>
  <c r="J270" i="2"/>
  <c r="H271" i="2"/>
  <c r="J271" i="2"/>
  <c r="H272" i="2"/>
  <c r="J272" i="2"/>
  <c r="H273" i="2"/>
  <c r="J273" i="2"/>
  <c r="H274" i="2"/>
  <c r="J274" i="2"/>
  <c r="H275" i="2"/>
  <c r="J275" i="2"/>
  <c r="H276" i="2"/>
  <c r="J276" i="2"/>
  <c r="H277" i="2"/>
  <c r="J277" i="2"/>
  <c r="H278" i="2"/>
  <c r="J278" i="2"/>
  <c r="H279" i="2"/>
  <c r="J279" i="2"/>
  <c r="H280" i="2"/>
  <c r="J280" i="2"/>
  <c r="H281" i="2"/>
  <c r="J281" i="2"/>
  <c r="H282" i="2"/>
  <c r="J282" i="2"/>
  <c r="H283" i="2"/>
  <c r="J283" i="2"/>
  <c r="H284" i="2"/>
  <c r="J284" i="2"/>
  <c r="H285" i="2"/>
  <c r="J285" i="2"/>
  <c r="H286" i="2"/>
  <c r="J286" i="2"/>
  <c r="H287" i="2"/>
  <c r="J287" i="2"/>
  <c r="H288" i="2"/>
  <c r="J288" i="2"/>
  <c r="H289" i="2"/>
  <c r="J289" i="2"/>
  <c r="H290" i="2"/>
  <c r="J290" i="2"/>
  <c r="H291" i="2"/>
  <c r="J291" i="2"/>
  <c r="H292" i="2"/>
  <c r="J292" i="2"/>
  <c r="H293" i="2"/>
  <c r="J293" i="2"/>
  <c r="H294" i="2"/>
  <c r="J294" i="2"/>
  <c r="H295" i="2"/>
  <c r="J295" i="2"/>
  <c r="H296" i="2"/>
  <c r="J296" i="2"/>
  <c r="H297" i="2"/>
  <c r="J297" i="2"/>
  <c r="H298" i="2"/>
  <c r="J298" i="2"/>
  <c r="H299" i="2"/>
  <c r="J299" i="2"/>
  <c r="H300" i="2"/>
  <c r="J300" i="2"/>
  <c r="H301" i="2"/>
  <c r="J301" i="2"/>
  <c r="H302" i="2"/>
  <c r="J302" i="2"/>
  <c r="H303" i="2"/>
  <c r="J303" i="2"/>
  <c r="H304" i="2"/>
  <c r="J304" i="2"/>
  <c r="H305" i="2"/>
  <c r="J305" i="2"/>
  <c r="H306" i="2"/>
  <c r="J306" i="2"/>
  <c r="H307" i="2"/>
  <c r="J307" i="2"/>
  <c r="H308" i="2"/>
  <c r="J308" i="2"/>
  <c r="H309" i="2"/>
  <c r="J309" i="2"/>
  <c r="H310" i="2"/>
  <c r="J310" i="2"/>
  <c r="H311" i="2"/>
  <c r="J311" i="2"/>
  <c r="H312" i="2"/>
  <c r="J312" i="2"/>
  <c r="H313" i="2"/>
  <c r="J313" i="2"/>
  <c r="H314" i="2"/>
  <c r="J314" i="2"/>
  <c r="H315" i="2"/>
  <c r="J315" i="2"/>
  <c r="H316" i="2"/>
  <c r="J316" i="2"/>
  <c r="H317" i="2"/>
  <c r="J317" i="2"/>
  <c r="H318" i="2"/>
  <c r="J318" i="2"/>
  <c r="H319" i="2"/>
  <c r="J319" i="2"/>
  <c r="H320" i="2"/>
  <c r="J320" i="2"/>
  <c r="H321" i="2"/>
  <c r="J321" i="2"/>
  <c r="H322" i="2"/>
  <c r="J322" i="2"/>
  <c r="H323" i="2"/>
  <c r="J323" i="2"/>
  <c r="H324" i="2"/>
  <c r="J324" i="2"/>
  <c r="H325" i="2"/>
  <c r="J325" i="2"/>
  <c r="H326" i="2"/>
  <c r="J326" i="2"/>
  <c r="H327" i="2"/>
  <c r="J327" i="2"/>
  <c r="H328" i="2"/>
  <c r="J328" i="2"/>
  <c r="H329" i="2"/>
  <c r="J329" i="2"/>
  <c r="H330" i="2"/>
  <c r="J330" i="2"/>
  <c r="H331" i="2"/>
  <c r="J331" i="2"/>
  <c r="H332" i="2" l="1"/>
  <c r="H333" i="2"/>
  <c r="H334" i="2"/>
  <c r="H335" i="2"/>
  <c r="H336" i="2"/>
  <c r="H337" i="2"/>
  <c r="H338" i="2"/>
  <c r="H339" i="2"/>
  <c r="H340" i="2"/>
  <c r="H341" i="2"/>
  <c r="H342" i="2"/>
  <c r="H343" i="2"/>
  <c r="J332" i="2"/>
  <c r="J333" i="2"/>
  <c r="J334" i="2"/>
  <c r="J335" i="2"/>
  <c r="J336" i="2"/>
  <c r="J337" i="2"/>
  <c r="J338" i="2"/>
  <c r="J339" i="2"/>
  <c r="J340" i="2"/>
  <c r="J341" i="2"/>
  <c r="J342" i="2"/>
  <c r="J343"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3" i="3"/>
  <c r="K3" i="3"/>
  <c r="L3" i="3" l="1"/>
</calcChain>
</file>

<file path=xl/sharedStrings.xml><?xml version="1.0" encoding="utf-8"?>
<sst xmlns="http://schemas.openxmlformats.org/spreadsheetml/2006/main" count="1493" uniqueCount="421">
  <si>
    <t>Tuition Fees</t>
  </si>
  <si>
    <t>Exam / University Fees</t>
  </si>
  <si>
    <t>Library &amp; Lab Charges</t>
  </si>
  <si>
    <t>Hostel / Rent</t>
  </si>
  <si>
    <t>Electricity &amp; Water</t>
  </si>
  <si>
    <t>Mess / Canteen</t>
  </si>
  <si>
    <t>Groceries &amp; Eating Out</t>
  </si>
  <si>
    <t>Textbooks &amp; Study Material</t>
  </si>
  <si>
    <t>Stationery &amp; Printing</t>
  </si>
  <si>
    <t>Online Courses / Certs</t>
  </si>
  <si>
    <t>Local Transport</t>
  </si>
  <si>
    <t>Inter-city Travel</t>
  </si>
  <si>
    <t>Clothing &amp; Formals</t>
  </si>
  <si>
    <t>Personal Grooming</t>
  </si>
  <si>
    <t>Mobile &amp; Internet</t>
  </si>
  <si>
    <t>Health Insurance</t>
  </si>
  <si>
    <t>Medical / Pharmacy</t>
  </si>
  <si>
    <t>Gym / Sports</t>
  </si>
  <si>
    <t>Placement Prep / Coaching</t>
  </si>
  <si>
    <t>Resume / LinkedIn Premium</t>
  </si>
  <si>
    <t>OTT &amp; Entertainment</t>
  </si>
  <si>
    <t>Festivals &amp; Gifts</t>
  </si>
  <si>
    <t>Contingency / Emergency</t>
  </si>
  <si>
    <t>Miscellaneous</t>
  </si>
  <si>
    <t>Expense</t>
  </si>
  <si>
    <t>Academic / Education Expenses</t>
  </si>
  <si>
    <t>Accommodation &amp; Utilities</t>
  </si>
  <si>
    <t>Food &amp; Daily Living</t>
  </si>
  <si>
    <t>Transport &amp; Travel</t>
  </si>
  <si>
    <t>Personal Care &amp; Lifestyle</t>
  </si>
  <si>
    <t>Health &amp; Medical</t>
  </si>
  <si>
    <t xml:space="preserve">Social &amp; Festival Expence </t>
  </si>
  <si>
    <t>Other Expences</t>
  </si>
  <si>
    <t>Categorys Type</t>
  </si>
  <si>
    <t>Family / Parent Support</t>
  </si>
  <si>
    <t>Education Loan Disbursement</t>
  </si>
  <si>
    <t>Scholarship / Merit Award</t>
  </si>
  <si>
    <t>Part-time / Freelance Work</t>
  </si>
  <si>
    <t>Reimbursements / Refunds</t>
  </si>
  <si>
    <t>Earnings &amp; Work Income</t>
  </si>
  <si>
    <t>Family Support &amp; Financial Aid</t>
  </si>
  <si>
    <t>Income</t>
  </si>
  <si>
    <t>Refunds &amp; Adjustments</t>
  </si>
  <si>
    <t>Opening Balance</t>
  </si>
  <si>
    <t>Initial deposit</t>
  </si>
  <si>
    <t>Family Transfer – July</t>
  </si>
  <si>
    <t>Monthly allowance</t>
  </si>
  <si>
    <t>Hostel Fee Payment</t>
  </si>
  <si>
    <t>July rent</t>
  </si>
  <si>
    <t>Grocery Purchase – BigMart</t>
  </si>
  <si>
    <t>Weekly grocery</t>
  </si>
  <si>
    <t>Mess Fee – July</t>
  </si>
  <si>
    <t>Monthly mess</t>
  </si>
  <si>
    <t>Mobile Recharge</t>
  </si>
  <si>
    <t>Airtel prepaid</t>
  </si>
  <si>
    <t>ATM Withdrawal</t>
  </si>
  <si>
    <t>Personal use</t>
  </si>
  <si>
    <t>Scholarship Credit</t>
  </si>
  <si>
    <t>Merit scholarship Q1</t>
  </si>
  <si>
    <t>Textbook Purchase</t>
  </si>
  <si>
    <t>MBA textbooks</t>
  </si>
  <si>
    <t>Family Transfer – Aug</t>
  </si>
  <si>
    <t>Hostel Fee – Aug</t>
  </si>
  <si>
    <t>August rent</t>
  </si>
  <si>
    <t>Notes printing</t>
  </si>
  <si>
    <t>Mess Fee – Aug</t>
  </si>
  <si>
    <t>Electricity Bill</t>
  </si>
  <si>
    <t>Shared room bill</t>
  </si>
  <si>
    <t>Online Course – Coursera</t>
  </si>
  <si>
    <t>Digital Marketing</t>
  </si>
  <si>
    <t>Auto Fare – Semester</t>
  </si>
  <si>
    <t>Monthly commute</t>
  </si>
  <si>
    <t>Family Transfer – Sep</t>
  </si>
  <si>
    <t>Hostel Fee – Sep</t>
  </si>
  <si>
    <t>September rent</t>
  </si>
  <si>
    <t>Mess Fee – Sep</t>
  </si>
  <si>
    <t>Medical – Pharmacy</t>
  </si>
  <si>
    <t>Medicine</t>
  </si>
  <si>
    <t>Exam Fee – Sem 1</t>
  </si>
  <si>
    <t>University exam fee</t>
  </si>
  <si>
    <t>Family Transfer – Oct</t>
  </si>
  <si>
    <t>Hostel Fee – Oct</t>
  </si>
  <si>
    <t>October rent</t>
  </si>
  <si>
    <t>Mess Fee – Oct</t>
  </si>
  <si>
    <t>Scholarship Credit Q2</t>
  </si>
  <si>
    <t>Merit scholarship Q2</t>
  </si>
  <si>
    <t>Clothing – Shoppers Stop</t>
  </si>
  <si>
    <t>Formal wear</t>
  </si>
  <si>
    <t>Online Order – Amazon</t>
  </si>
  <si>
    <t>Study lamp</t>
  </si>
  <si>
    <t>Family Transfer – Nov</t>
  </si>
  <si>
    <t>Hostel Fee – Nov</t>
  </si>
  <si>
    <t>November rent</t>
  </si>
  <si>
    <t>Mess Fee – Nov</t>
  </si>
  <si>
    <t>Freelance Income</t>
  </si>
  <si>
    <t>Content writing</t>
  </si>
  <si>
    <t>Train Ticket – Home Visit</t>
  </si>
  <si>
    <t>Prayagraj–Delhi</t>
  </si>
  <si>
    <t>Family Transfer – Dec</t>
  </si>
  <si>
    <t>Hostel Fee – Dec</t>
  </si>
  <si>
    <t>December rent</t>
  </si>
  <si>
    <t>Tuition Fee – Year 1</t>
  </si>
  <si>
    <t>Annual tuition</t>
  </si>
  <si>
    <t>Education Loan Credit</t>
  </si>
  <si>
    <t>SBI edu loan disbursement</t>
  </si>
  <si>
    <t>Mess Fee – Dec</t>
  </si>
  <si>
    <t>Festival expenses</t>
  </si>
  <si>
    <t>Diwali Gifts &amp; Shopping</t>
  </si>
  <si>
    <t>Family Transfer – Jan</t>
  </si>
  <si>
    <t>Hostel Fee – Jan</t>
  </si>
  <si>
    <t>January rent</t>
  </si>
  <si>
    <t>Mess Fee – Jan</t>
  </si>
  <si>
    <t>Scholarship Credit Q3</t>
  </si>
  <si>
    <t>Merit Q3</t>
  </si>
  <si>
    <t>LinkedIn Premium</t>
  </si>
  <si>
    <t>Job search</t>
  </si>
  <si>
    <t>Mock Test Series</t>
  </si>
  <si>
    <t>CAT/MBA prep</t>
  </si>
  <si>
    <t>Family Transfer – Feb</t>
  </si>
  <si>
    <t>Hostel Fee – Feb</t>
  </si>
  <si>
    <t>February rent</t>
  </si>
  <si>
    <t>Mess Fee – Feb</t>
  </si>
  <si>
    <t>Gym Membership</t>
  </si>
  <si>
    <t>Quarterly</t>
  </si>
  <si>
    <t>Eating Out – Friends</t>
  </si>
  <si>
    <t>Family Transfer – Mar</t>
  </si>
  <si>
    <t>Hostel Fee – Mar</t>
  </si>
  <si>
    <t>March rent</t>
  </si>
  <si>
    <t>Mess Fee – Mar</t>
  </si>
  <si>
    <t>Internship Stipend</t>
  </si>
  <si>
    <t>Summer intern – Y2</t>
  </si>
  <si>
    <t>Travel – Internship City</t>
  </si>
  <si>
    <t>Bus/train</t>
  </si>
  <si>
    <t>Scholarship Credit Q4</t>
  </si>
  <si>
    <t>Merit Q4</t>
  </si>
  <si>
    <t>Rent – Internship</t>
  </si>
  <si>
    <t>PG accommodation</t>
  </si>
  <si>
    <t>Mess / Food – Intern</t>
  </si>
  <si>
    <t>Month 2 stipend</t>
  </si>
  <si>
    <t>Tuition Fee – Year 2</t>
  </si>
  <si>
    <t>Annual tuition Y2</t>
  </si>
  <si>
    <t>Education Loan Y2</t>
  </si>
  <si>
    <t>Loan Y2 disbursement</t>
  </si>
  <si>
    <t>Hostel Fee – Y2 Start</t>
  </si>
  <si>
    <t>Mess Fee</t>
  </si>
  <si>
    <t>Placement Coaching</t>
  </si>
  <si>
    <t>Interview prep</t>
  </si>
  <si>
    <t>Family Transfer</t>
  </si>
  <si>
    <t>Hostel Fee</t>
  </si>
  <si>
    <t>OTT Subscription – Bundle</t>
  </si>
  <si>
    <t>Netflix+Spotify</t>
  </si>
  <si>
    <t>Freelance – Content</t>
  </si>
  <si>
    <t>Medical Checkup</t>
  </si>
  <si>
    <t>Placement Resume Print</t>
  </si>
  <si>
    <t>Bank Interest Credit</t>
  </si>
  <si>
    <t>Quarterly interest</t>
  </si>
  <si>
    <t>Closing Balance</t>
  </si>
  <si>
    <t>End of period</t>
  </si>
  <si>
    <t>Date</t>
  </si>
  <si>
    <t>Description</t>
  </si>
  <si>
    <t>Category</t>
  </si>
  <si>
    <t>Debit (₹)</t>
  </si>
  <si>
    <t>Credit (₹)</t>
  </si>
  <si>
    <t>Balance (₹)</t>
  </si>
  <si>
    <t>Remarks</t>
  </si>
  <si>
    <t>Accounts</t>
  </si>
  <si>
    <t>Saving</t>
  </si>
  <si>
    <t>Online Shopping – Flipkart</t>
  </si>
  <si>
    <t>Shoes</t>
  </si>
  <si>
    <t>Swiggy – Food Order</t>
  </si>
  <si>
    <t>Amazon – Books</t>
  </si>
  <si>
    <t>MBA books</t>
  </si>
  <si>
    <t>Bill Payment – Electricity</t>
  </si>
  <si>
    <t>Monthly Bill Payment</t>
  </si>
  <si>
    <t>Min due paid</t>
  </si>
  <si>
    <t>Zomato – Food</t>
  </si>
  <si>
    <t>OTT – Netflix</t>
  </si>
  <si>
    <t>Monthly sub</t>
  </si>
  <si>
    <t>Petrol – HPCL</t>
  </si>
  <si>
    <t>Grooming – Salon</t>
  </si>
  <si>
    <t>Medical – 1mg</t>
  </si>
  <si>
    <t>Bill Payment</t>
  </si>
  <si>
    <t>Myntra – Clothing</t>
  </si>
  <si>
    <t>Formal shirt</t>
  </si>
  <si>
    <t>Uber – Cab</t>
  </si>
  <si>
    <t>Restaurant – Dining</t>
  </si>
  <si>
    <t>Birthday dinner</t>
  </si>
  <si>
    <t>Coursera Subscription</t>
  </si>
  <si>
    <t>Amazon – Stationery</t>
  </si>
  <si>
    <t>Swiggy – Instamart</t>
  </si>
  <si>
    <t>Grocery delivery</t>
  </si>
  <si>
    <t>Spotify Premium</t>
  </si>
  <si>
    <t>Ola – Ride</t>
  </si>
  <si>
    <t>D-Mart – Grocery</t>
  </si>
  <si>
    <t>Nykaa – Personal Care</t>
  </si>
  <si>
    <t>Train Ticket – IRCTC</t>
  </si>
  <si>
    <t>Exam Prep Material</t>
  </si>
  <si>
    <t>Meesho – Clothing</t>
  </si>
  <si>
    <t>Swiggy</t>
  </si>
  <si>
    <t>Pharmacy – Medicine</t>
  </si>
  <si>
    <t>Bill Payment – Full</t>
  </si>
  <si>
    <t>Full payment</t>
  </si>
  <si>
    <t>Laptop Accessories</t>
  </si>
  <si>
    <t>Mouse, pad</t>
  </si>
  <si>
    <t>Zomato</t>
  </si>
  <si>
    <t>Rapido – Bike Ride</t>
  </si>
  <si>
    <t>Interest Charged</t>
  </si>
  <si>
    <t>Late fee</t>
  </si>
  <si>
    <t>Amazon – Case Studies</t>
  </si>
  <si>
    <t>Domino's – Pizza</t>
  </si>
  <si>
    <t>Group order</t>
  </si>
  <si>
    <t>Fuel – BPCL</t>
  </si>
  <si>
    <t>Full clearance</t>
  </si>
  <si>
    <t>Credit</t>
  </si>
  <si>
    <t>Opening Deposit</t>
  </si>
  <si>
    <t>UPI – Pay Mess</t>
  </si>
  <si>
    <t>Mess fee via UPI</t>
  </si>
  <si>
    <t>NEFT Received – Family</t>
  </si>
  <si>
    <t>Monthly transfer</t>
  </si>
  <si>
    <t>UPI – Hostel Rent</t>
  </si>
  <si>
    <t>Cheque – Tuition Fee</t>
  </si>
  <si>
    <t>Year 1 tuition</t>
  </si>
  <si>
    <t>NEFT – Loan Disbursement</t>
  </si>
  <si>
    <t>Edu loan credit</t>
  </si>
  <si>
    <t>IMPS – Stationery Shop</t>
  </si>
  <si>
    <t>UPI – Grocery</t>
  </si>
  <si>
    <t>RTGS – Received Scholarship</t>
  </si>
  <si>
    <t>UPI – Transport Card</t>
  </si>
  <si>
    <t>Bus pass</t>
  </si>
  <si>
    <t>NEFT – Family</t>
  </si>
  <si>
    <t>UPI – Mess</t>
  </si>
  <si>
    <t>UPI – Rent</t>
  </si>
  <si>
    <t>Cheque – Exam Fee</t>
  </si>
  <si>
    <t>UPI – Medical</t>
  </si>
  <si>
    <t>Cash Deposit</t>
  </si>
  <si>
    <t>Self deposit</t>
  </si>
  <si>
    <t>UPI – Online Course</t>
  </si>
  <si>
    <t>UPI – Electricity Bill</t>
  </si>
  <si>
    <t>IMPS – Mobile Recharge</t>
  </si>
  <si>
    <t>RTGS – Scholarship</t>
  </si>
  <si>
    <t>UPI – Gym</t>
  </si>
  <si>
    <t>UPI – Freelance Received</t>
  </si>
  <si>
    <t>UPI – Train Ticket</t>
  </si>
  <si>
    <t>Cheque – Tuition Fee Y2</t>
  </si>
  <si>
    <t>Year 2 tuition</t>
  </si>
  <si>
    <t>NEFT – Loan Y2</t>
  </si>
  <si>
    <t>Edu loan Y2</t>
  </si>
  <si>
    <t>RTGS – Internship Stipend</t>
  </si>
  <si>
    <t>UPI – Rent (Intern city)</t>
  </si>
  <si>
    <t>UPI – Mess/Food</t>
  </si>
  <si>
    <t>RTGS – Stipend M2</t>
  </si>
  <si>
    <t>UPI – Placement Coach</t>
  </si>
  <si>
    <t>RTGS – Scholarship Q4</t>
  </si>
  <si>
    <t>UPI – Personal Grooming</t>
  </si>
  <si>
    <t>UPI – Freelance</t>
  </si>
  <si>
    <t>Bank Charges</t>
  </si>
  <si>
    <t>SMS alert fee</t>
  </si>
  <si>
    <t>Interest Credit</t>
  </si>
  <si>
    <t>Quarterly int.</t>
  </si>
  <si>
    <t>Checking</t>
  </si>
  <si>
    <t>Income/Expense</t>
  </si>
  <si>
    <t>Subcategory</t>
  </si>
  <si>
    <t>Category Type</t>
  </si>
  <si>
    <t>(All)</t>
  </si>
  <si>
    <t>Grand Total</t>
  </si>
  <si>
    <t>Sum of Income/Expense</t>
  </si>
  <si>
    <t>% of Total</t>
  </si>
  <si>
    <t>2023</t>
  </si>
  <si>
    <t>2024</t>
  </si>
  <si>
    <t>2025</t>
  </si>
  <si>
    <t>Jul</t>
  </si>
  <si>
    <t>Aug</t>
  </si>
  <si>
    <t>Sep</t>
  </si>
  <si>
    <t>Oct</t>
  </si>
  <si>
    <t>Dec</t>
  </si>
  <si>
    <t>Jan</t>
  </si>
  <si>
    <t>Feb</t>
  </si>
  <si>
    <t>Mar</t>
  </si>
  <si>
    <t>Apr</t>
  </si>
  <si>
    <t>Jun</t>
  </si>
  <si>
    <t>May</t>
  </si>
  <si>
    <t>Nov</t>
  </si>
  <si>
    <t>Income &amp; Expenditure Dashboard</t>
  </si>
  <si>
    <t>Net Savings</t>
  </si>
  <si>
    <t>Savings A/C</t>
  </si>
  <si>
    <t>Salary Credit – Jul 2025 – Artha Finance Ltd</t>
  </si>
  <si>
    <t>Monthly salary</t>
  </si>
  <si>
    <t>SIP – Axis Bluechip Fund</t>
  </si>
  <si>
    <t>Equity SIP auto-debit</t>
  </si>
  <si>
    <t>Rent – Jul 2025</t>
  </si>
  <si>
    <t>2BHK shared flat</t>
  </si>
  <si>
    <t>Electricity Bill – UPPCL</t>
  </si>
  <si>
    <t>Monthly electricity</t>
  </si>
  <si>
    <t>Grocery – Reliance Fresh</t>
  </si>
  <si>
    <t>Monthly grocery</t>
  </si>
  <si>
    <t>Swiggy – Food Orders</t>
  </si>
  <si>
    <t>Weekly food delivery</t>
  </si>
  <si>
    <t>Mobile Bill – Airtel Postpaid</t>
  </si>
  <si>
    <t>Unlimited 5G plan</t>
  </si>
  <si>
    <t>Metro Card Recharge</t>
  </si>
  <si>
    <t>OTT Bundle – Netflix+Prime</t>
  </si>
  <si>
    <t>Monthly subs</t>
  </si>
  <si>
    <t>Insurance Premium – LIC</t>
  </si>
  <si>
    <t>Term plan EMI</t>
  </si>
  <si>
    <t>Amazon – Office Wear</t>
  </si>
  <si>
    <t>Formal shirts</t>
  </si>
  <si>
    <t>Zomato – Lunch</t>
  </si>
  <si>
    <t>Office lunch outing</t>
  </si>
  <si>
    <t>Monthly fitness</t>
  </si>
  <si>
    <t>Parents – Home Transfer</t>
  </si>
  <si>
    <t>Family support</t>
  </si>
  <si>
    <t>Edu Loan EMI</t>
  </si>
  <si>
    <t>MBA loan repayment</t>
  </si>
  <si>
    <t>Interest Credit – Savings</t>
  </si>
  <si>
    <t>Salary Credit – Aug 2025</t>
  </si>
  <si>
    <t>Equity SIP</t>
  </si>
  <si>
    <t>Rent – Aug 2025</t>
  </si>
  <si>
    <t>Flat rent</t>
  </si>
  <si>
    <t>Grocery – DMart</t>
  </si>
  <si>
    <t>Mobile Bill</t>
  </si>
  <si>
    <t>Airtel postpaid</t>
  </si>
  <si>
    <t>Prayagraj visit</t>
  </si>
  <si>
    <t>Medical Checkup – Diagnostics</t>
  </si>
  <si>
    <t>Annual health test</t>
  </si>
  <si>
    <t>Amazon – Home Essentials</t>
  </si>
  <si>
    <t>Kitchen items</t>
  </si>
  <si>
    <t>MBA loan</t>
  </si>
  <si>
    <t>Salary Credit – Sep 2025</t>
  </si>
  <si>
    <t>Rent – Sep 2025</t>
  </si>
  <si>
    <t>Grocery</t>
  </si>
  <si>
    <t>Transfer to RD</t>
  </si>
  <si>
    <t>Freelance – Financial Model</t>
  </si>
  <si>
    <t>Side consulting gig</t>
  </si>
  <si>
    <t>Pharmacy</t>
  </si>
  <si>
    <t>Medicines</t>
  </si>
  <si>
    <t>Dinner – Restaurant</t>
  </si>
  <si>
    <t>Team outing</t>
  </si>
  <si>
    <t>Salary Credit – Oct 2025</t>
  </si>
  <si>
    <t>Rent – Oct 2025</t>
  </si>
  <si>
    <t>Diwali Shopping – Amazon</t>
  </si>
  <si>
    <t>Gifts &amp; clothes</t>
  </si>
  <si>
    <t>Diwali Sweets &amp; Gifts</t>
  </si>
  <si>
    <t>Family gifts</t>
  </si>
  <si>
    <t>Movie + Dinner – Diwali</t>
  </si>
  <si>
    <t>Interest Credit – Q2</t>
  </si>
  <si>
    <t>Savings interest</t>
  </si>
  <si>
    <t>Salary Credit – Nov 2025</t>
  </si>
  <si>
    <t>Rent – Nov 2025</t>
  </si>
  <si>
    <t>Professional Course – Udemy</t>
  </si>
  <si>
    <t>CFA Level 1 prep</t>
  </si>
  <si>
    <t>Dinner – Team Birthday</t>
  </si>
  <si>
    <t>Gym</t>
  </si>
  <si>
    <t>Salary Credit – Dec 2025</t>
  </si>
  <si>
    <t>Rent – Dec 2025</t>
  </si>
  <si>
    <t>Higher – winter</t>
  </si>
  <si>
    <t>Year-End Bonus Credit</t>
  </si>
  <si>
    <t>Performance bonus</t>
  </si>
  <si>
    <t>Flight – Home Trip</t>
  </si>
  <si>
    <t>Prayagraj – Christmas</t>
  </si>
  <si>
    <t>New Year Shopping</t>
  </si>
  <si>
    <t>Extra SIP – Top-Up</t>
  </si>
  <si>
    <t>Bonus invested</t>
  </si>
  <si>
    <t>Salary Credit – Jan 2026</t>
  </si>
  <si>
    <t>Rent – Jan 2026</t>
  </si>
  <si>
    <t>PPFAS Flexi Cap Fund – SIP</t>
  </si>
  <si>
    <t>New SIP added</t>
  </si>
  <si>
    <t>Medical Insurance Premium</t>
  </si>
  <si>
    <t>Health policy renewal</t>
  </si>
  <si>
    <t>Book – Financial Modeling</t>
  </si>
  <si>
    <t>Professional reading</t>
  </si>
  <si>
    <t>Interest Credit – Q3</t>
  </si>
  <si>
    <t>Bank interest</t>
  </si>
  <si>
    <t>Salary Credit – Feb 2026</t>
  </si>
  <si>
    <t>Rent – Feb 2026</t>
  </si>
  <si>
    <t>PPFAS Flexi Cap SIP</t>
  </si>
  <si>
    <t>Valentine Dinner</t>
  </si>
  <si>
    <t>Fine dining</t>
  </si>
  <si>
    <t>Freelance – Excel Model</t>
  </si>
  <si>
    <t>Side consulting</t>
  </si>
  <si>
    <t>Salary Credit – Mar 2026</t>
  </si>
  <si>
    <t>Rent – Mar 2026</t>
  </si>
  <si>
    <t>Tax Saving Investment – ELSS</t>
  </si>
  <si>
    <t>80C tax planning</t>
  </si>
  <si>
    <t>Annual Health Checkup</t>
  </si>
  <si>
    <t>Salary Credit – Apr 2026</t>
  </si>
  <si>
    <t>Rent – Apr 2026</t>
  </si>
  <si>
    <t>Summer starts</t>
  </si>
  <si>
    <t>Increment – Salary Hike</t>
  </si>
  <si>
    <t>Annual increment +10%</t>
  </si>
  <si>
    <t>Flight – Weekend Trip Manali</t>
  </si>
  <si>
    <t>Leisure trip</t>
  </si>
  <si>
    <t>Hotel – Manali Trip</t>
  </si>
  <si>
    <t>2 nights</t>
  </si>
  <si>
    <t>Interest Credit – Q4</t>
  </si>
  <si>
    <t>Salary Credit – May 2026</t>
  </si>
  <si>
    <t>Revised salary (10% hike)</t>
  </si>
  <si>
    <t>Increased SIP post hike</t>
  </si>
  <si>
    <t>Rent – May 2026</t>
  </si>
  <si>
    <t>Peak summer</t>
  </si>
  <si>
    <t>CFA Level 1 Exam Fee</t>
  </si>
  <si>
    <t>Professional certification</t>
  </si>
  <si>
    <t>Salary Credit – Jun 2026</t>
  </si>
  <si>
    <t>Rent – Jun 2026</t>
  </si>
  <si>
    <t>Freelance – Valuation Report</t>
  </si>
  <si>
    <t>Side project income</t>
  </si>
  <si>
    <t>Amazon – New Laptop Bag</t>
  </si>
  <si>
    <t>Office accessory</t>
  </si>
  <si>
    <t>Interest Credit – Q1 FY27</t>
  </si>
  <si>
    <t>Salary</t>
  </si>
  <si>
    <t>Mutual Fund SIP</t>
  </si>
  <si>
    <t>Air Travel</t>
  </si>
  <si>
    <t xml:space="preserve">Finance </t>
  </si>
  <si>
    <t>loan EMI</t>
  </si>
  <si>
    <t>House Rent</t>
  </si>
  <si>
    <t>Transfer to RD Account</t>
  </si>
  <si>
    <t>Monthly RD instalment</t>
  </si>
  <si>
    <t>Monthly RD</t>
  </si>
  <si>
    <t>Increased RD</t>
  </si>
  <si>
    <t>Monthly Salary</t>
  </si>
  <si>
    <t>Loan EMI</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</si>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</sst>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quot;(₹&quot;#,##0.00\);\-"/>
    <numFmt numFmtId="166" formatCode="\₹#,##0.00"/>
    <numFmt numFmtId="167" formatCode=";;;"/>
    <numFmt numFmtId="168" formatCode="&quot;₹&quot;\ #,##0.0"/>
  </numFmts>
  <fonts count="13" x14ac:knownFonts="1">
    <font>
      <sz val="11"/>
      <color theme="1"/>
      <name val="Calibri"/>
      <family val="2"/>
      <scheme val="minor"/>
    </font>
    <font>
      <b/>
      <sz val="11"/>
      <color theme="1"/>
      <name val="Calibri"/>
      <family val="2"/>
      <scheme val="minor"/>
    </font>
    <font>
      <sz val="11"/>
      <color theme="1"/>
      <name val="Calibri"/>
      <family val="2"/>
      <charset val="1"/>
    </font>
    <font>
      <sz val="10"/>
      <color rgb="FF000000"/>
      <name val="Arial"/>
      <charset val="1"/>
    </font>
    <font>
      <sz val="10"/>
      <color rgb="FF000000"/>
      <name val="Arial"/>
      <family val="2"/>
    </font>
    <font>
      <sz val="9"/>
      <name val="Arial"/>
      <family val="2"/>
    </font>
    <font>
      <b/>
      <sz val="26"/>
      <color theme="6" tint="-0.499984740745262"/>
      <name val="Times New Roman"/>
      <family val="1"/>
    </font>
    <font>
      <b/>
      <sz val="18"/>
      <color theme="6" tint="-0.499984740745262"/>
      <name val="Calibri"/>
      <family val="2"/>
      <scheme val="minor"/>
    </font>
    <font>
      <b/>
      <sz val="18"/>
      <color theme="5" tint="-0.499984740745262"/>
      <name val="Calibri"/>
      <family val="2"/>
      <scheme val="minor"/>
    </font>
    <font>
      <sz val="11"/>
      <color theme="5" tint="-0.499984740745262"/>
      <name val="Calibri"/>
      <family val="2"/>
      <scheme val="minor"/>
    </font>
    <font>
      <sz val="10"/>
      <name val="Arial"/>
      <family val="2"/>
    </font>
    <font>
      <sz val="10"/>
      <color rgb="FF000000"/>
      <name val="Arial"/>
    </font>
    <font>
      <sz val="9"/>
      <name val="Arial"/>
    </font>
  </fonts>
  <fills count="11">
    <fill>
      <patternFill patternType="none"/>
    </fill>
    <fill>
      <patternFill patternType="gray125"/>
    </fill>
    <fill>
      <patternFill patternType="solid">
        <fgColor rgb="FFFEF9F9"/>
        <bgColor rgb="FFFFFFFF"/>
      </patternFill>
    </fill>
    <fill>
      <patternFill patternType="solid">
        <fgColor rgb="FFFFFFFF"/>
        <bgColor rgb="FFFEF9F9"/>
      </patternFill>
    </fill>
    <fill>
      <patternFill patternType="solid">
        <fgColor rgb="FFF0FAF4"/>
        <bgColor rgb="FFFEF9F9"/>
      </patternFill>
    </fill>
    <fill>
      <patternFill patternType="solid">
        <fgColor theme="6" tint="0.39997558519241921"/>
        <bgColor indexed="64"/>
      </patternFill>
    </fill>
    <fill>
      <patternFill patternType="solid">
        <fgColor rgb="FFFFFFFF"/>
        <bgColor rgb="FFF8FFF8"/>
      </patternFill>
    </fill>
    <fill>
      <patternFill patternType="solid">
        <fgColor rgb="FFF5F7FA"/>
        <bgColor rgb="FFF5F5F5"/>
      </patternFill>
    </fill>
    <fill>
      <patternFill patternType="solid">
        <fgColor rgb="FFF8FFF8"/>
        <bgColor rgb="FFFFFFFF"/>
      </patternFill>
    </fill>
    <fill>
      <patternFill patternType="solid">
        <fgColor rgb="FFFFF8F8"/>
        <bgColor rgb="FFF8F8FF"/>
      </patternFill>
    </fill>
    <fill>
      <patternFill patternType="solid">
        <fgColor rgb="FFF8F8FF"/>
        <bgColor rgb="FFF5F7FA"/>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top/>
      <bottom style="thick">
        <color theme="6" tint="-0.499984740745262"/>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diagonal/>
    </border>
  </borders>
  <cellStyleXfs count="2">
    <xf numFmtId="0" fontId="0" fillId="0" borderId="0"/>
    <xf numFmtId="0" fontId="2" fillId="0" borderId="0"/>
  </cellStyleXfs>
  <cellXfs count="51">
    <xf numFmtId="0" fontId="0" fillId="0" borderId="0" xfId="0"/>
    <xf numFmtId="0" fontId="3" fillId="2" borderId="1" xfId="1" applyFont="1" applyFill="1" applyBorder="1"/>
    <xf numFmtId="0" fontId="3" fillId="3" borderId="1" xfId="1" applyFont="1" applyFill="1" applyBorder="1"/>
    <xf numFmtId="0" fontId="1" fillId="0" borderId="0" xfId="0" applyFont="1"/>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4" fillId="3" borderId="1" xfId="1" applyFont="1" applyFill="1" applyBorder="1"/>
    <xf numFmtId="0" fontId="4" fillId="4" borderId="1" xfId="1" applyFont="1" applyFill="1" applyBorder="1"/>
    <xf numFmtId="0" fontId="5" fillId="2" borderId="2" xfId="1" applyFont="1" applyFill="1" applyBorder="1" applyAlignment="1">
      <alignment horizontal="left" vertical="center"/>
    </xf>
    <xf numFmtId="0" fontId="0" fillId="0" borderId="0" xfId="1" applyFont="1" applyAlignment="1">
      <alignment horizontal="center" vertical="center"/>
    </xf>
    <xf numFmtId="164" fontId="0" fillId="0" borderId="0" xfId="1" applyNumberFormat="1" applyFont="1" applyAlignment="1">
      <alignment horizontal="center" vertical="center"/>
    </xf>
    <xf numFmtId="0" fontId="0" fillId="0" borderId="0" xfId="1" applyFont="1" applyAlignment="1">
      <alignment horizontal="left" vertical="center" indent="2"/>
    </xf>
    <xf numFmtId="165" fontId="0" fillId="0" borderId="0" xfId="1" applyNumberFormat="1" applyFont="1" applyAlignment="1">
      <alignment horizontal="right"/>
    </xf>
    <xf numFmtId="166" fontId="0" fillId="0" borderId="0" xfId="1" applyNumberFormat="1" applyFont="1" applyAlignment="1">
      <alignment horizontal="right" vertical="center"/>
    </xf>
    <xf numFmtId="0" fontId="0" fillId="0" borderId="0" xfId="1" applyFont="1" applyAlignment="1">
      <alignment horizontal="left" vertical="center" inden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0" borderId="0" xfId="0" applyNumberFormat="1"/>
    <xf numFmtId="167" fontId="0" fillId="0" borderId="0" xfId="0" applyNumberFormat="1"/>
    <xf numFmtId="10" fontId="0" fillId="0" borderId="0" xfId="0" applyNumberFormat="1"/>
    <xf numFmtId="0" fontId="0" fillId="0" borderId="0" xfId="0" applyAlignment="1">
      <alignment horizontal="right" vertical="top"/>
    </xf>
    <xf numFmtId="167" fontId="0" fillId="0" borderId="0" xfId="0" applyNumberFormat="1" applyAlignment="1">
      <alignment horizontal="right" vertical="top"/>
    </xf>
    <xf numFmtId="0" fontId="0" fillId="5" borderId="0" xfId="0" applyFill="1" applyBorder="1"/>
    <xf numFmtId="0" fontId="0" fillId="5" borderId="3" xfId="0" applyFill="1" applyBorder="1"/>
    <xf numFmtId="168" fontId="7" fillId="5" borderId="3" xfId="0" applyNumberFormat="1" applyFont="1" applyFill="1" applyBorder="1" applyAlignment="1">
      <alignment horizontal="center"/>
    </xf>
    <xf numFmtId="168" fontId="8" fillId="5" borderId="3" xfId="0" applyNumberFormat="1" applyFont="1" applyFill="1" applyBorder="1" applyAlignment="1">
      <alignment horizontal="center"/>
    </xf>
    <xf numFmtId="0" fontId="9" fillId="5" borderId="3" xfId="0" applyFont="1" applyFill="1" applyBorder="1"/>
    <xf numFmtId="0" fontId="6" fillId="5" borderId="3" xfId="0" applyFont="1" applyFill="1" applyBorder="1" applyAlignment="1">
      <alignment horizontal="left" indent="8"/>
    </xf>
    <xf numFmtId="166" fontId="0" fillId="0" borderId="0" xfId="0" applyNumberFormat="1" applyBorder="1"/>
    <xf numFmtId="0" fontId="0" fillId="0" borderId="0" xfId="0" applyBorder="1"/>
    <xf numFmtId="0" fontId="0" fillId="0" borderId="0" xfId="0" applyNumberFormat="1" applyBorder="1"/>
    <xf numFmtId="0" fontId="12" fillId="2" borderId="2" xfId="1" applyFont="1" applyFill="1" applyBorder="1" applyAlignment="1">
      <alignment horizontal="left" vertical="center"/>
    </xf>
    <xf numFmtId="0" fontId="11" fillId="3" borderId="5" xfId="1" applyFont="1" applyFill="1" applyBorder="1" applyAlignment="1"/>
    <xf numFmtId="0" fontId="5" fillId="6" borderId="4" xfId="0" applyFont="1" applyFill="1" applyBorder="1" applyAlignment="1">
      <alignment horizontal="center" vertical="center"/>
    </xf>
    <xf numFmtId="164" fontId="10" fillId="6" borderId="4" xfId="0" applyNumberFormat="1" applyFont="1" applyFill="1" applyBorder="1" applyAlignment="1">
      <alignment horizontal="center" vertical="center"/>
    </xf>
    <xf numFmtId="0" fontId="10" fillId="6" borderId="4" xfId="0" applyFont="1" applyFill="1" applyBorder="1" applyAlignment="1">
      <alignment horizontal="left" vertical="center" indent="1"/>
    </xf>
    <xf numFmtId="165" fontId="10" fillId="6" borderId="4" xfId="0" applyNumberFormat="1" applyFont="1" applyFill="1" applyBorder="1" applyAlignment="1">
      <alignment horizontal="right" vertical="center"/>
    </xf>
    <xf numFmtId="166" fontId="10" fillId="6" borderId="4" xfId="0" applyNumberFormat="1" applyFont="1" applyFill="1" applyBorder="1" applyAlignment="1">
      <alignment horizontal="right" vertical="center"/>
    </xf>
    <xf numFmtId="0" fontId="5" fillId="6" borderId="4" xfId="0" applyFont="1" applyFill="1" applyBorder="1" applyAlignment="1">
      <alignment horizontal="left" vertical="center" indent="1"/>
    </xf>
    <xf numFmtId="0" fontId="4" fillId="3" borderId="5" xfId="1" applyFont="1" applyFill="1" applyBorder="1" applyAlignment="1"/>
    <xf numFmtId="0" fontId="5" fillId="7" borderId="4" xfId="0" applyFont="1" applyFill="1" applyBorder="1" applyAlignment="1">
      <alignment horizontal="center" vertical="center"/>
    </xf>
    <xf numFmtId="164" fontId="10" fillId="7" borderId="4" xfId="0" applyNumberFormat="1" applyFont="1" applyFill="1" applyBorder="1" applyAlignment="1">
      <alignment horizontal="center" vertical="center"/>
    </xf>
    <xf numFmtId="0" fontId="10" fillId="7" borderId="4" xfId="0" applyFont="1" applyFill="1" applyBorder="1" applyAlignment="1">
      <alignment horizontal="left" vertical="center" indent="1"/>
    </xf>
    <xf numFmtId="165" fontId="10" fillId="7" borderId="4" xfId="0" applyNumberFormat="1" applyFont="1" applyFill="1" applyBorder="1" applyAlignment="1">
      <alignment horizontal="right" vertical="center"/>
    </xf>
    <xf numFmtId="0" fontId="5" fillId="7" borderId="4" xfId="0" applyFont="1" applyFill="1" applyBorder="1" applyAlignment="1">
      <alignment horizontal="left" vertical="center" indent="1"/>
    </xf>
    <xf numFmtId="166" fontId="10" fillId="7" borderId="4" xfId="0" applyNumberFormat="1" applyFont="1" applyFill="1" applyBorder="1" applyAlignment="1">
      <alignment horizontal="right" vertical="center"/>
    </xf>
    <xf numFmtId="0" fontId="5" fillId="8" borderId="4" xfId="0" applyFont="1" applyFill="1" applyBorder="1" applyAlignment="1">
      <alignment horizontal="left" vertical="center"/>
    </xf>
    <xf numFmtId="0" fontId="5" fillId="9" borderId="4" xfId="0" applyFont="1" applyFill="1" applyBorder="1" applyAlignment="1">
      <alignment horizontal="left" vertical="center"/>
    </xf>
    <xf numFmtId="0" fontId="5" fillId="10" borderId="4" xfId="0" applyFont="1" applyFill="1" applyBorder="1" applyAlignment="1">
      <alignment horizontal="left" vertical="center"/>
    </xf>
  </cellXfs>
  <cellStyles count="2">
    <cellStyle name="Normal" xfId="0" builtinId="0"/>
    <cellStyle name="Normal 2" xfId="1" xr:uid="{00000000-0005-0000-0000-000001000000}"/>
  </cellStyles>
  <dxfs count="36">
    <dxf>
      <numFmt numFmtId="167" formatCode=";;;"/>
    </dxf>
    <dxf>
      <numFmt numFmtId="167" formatCode=";;;"/>
    </dxf>
    <dxf>
      <numFmt numFmtId="14" formatCode="0.00%"/>
    </dxf>
    <dxf>
      <alignment vertical="top"/>
    </dxf>
    <dxf>
      <alignment horizontal="right"/>
    </dxf>
    <dxf>
      <numFmt numFmtId="167" formatCode=";;;"/>
    </dxf>
    <dxf>
      <numFmt numFmtId="167" formatCode=";;;"/>
    </dxf>
    <dxf>
      <numFmt numFmtId="14" formatCode="0.00%"/>
    </dxf>
    <dxf>
      <alignment vertical="top"/>
    </dxf>
    <dxf>
      <alignment horizontal="right"/>
    </dxf>
    <dxf>
      <numFmt numFmtId="167" formatCode=";;;"/>
    </dxf>
    <dxf>
      <numFmt numFmtId="167" formatCode=";;;"/>
    </dxf>
    <dxf>
      <alignment vertical="top"/>
    </dxf>
    <dxf>
      <alignment horizontal="right"/>
    </dxf>
    <dxf>
      <font>
        <b val="0"/>
        <i val="0"/>
        <strike val="0"/>
        <condense val="0"/>
        <extend val="0"/>
        <outline val="0"/>
        <shadow val="0"/>
        <u val="none"/>
        <vertAlign val="baseline"/>
        <sz val="9"/>
        <color auto="1"/>
        <name val="Arial"/>
        <scheme val="none"/>
      </font>
      <fill>
        <patternFill patternType="solid">
          <fgColor rgb="FFFFFFFF"/>
          <bgColor rgb="FFFEF9F9"/>
        </patternFill>
      </fill>
      <alignment horizontal="left" vertical="center" textRotation="0" wrapText="0" indent="0" justifyLastLine="0" shrinkToFit="0" readingOrder="0"/>
      <border diagonalUp="0" diagonalDown="0">
        <left style="thin">
          <color rgb="FFCCCCCC"/>
        </left>
        <right style="thin">
          <color rgb="FFCCCCCC"/>
        </right>
        <top/>
        <bottom/>
        <vertical/>
        <horizontal/>
      </border>
    </dxf>
    <dxf>
      <font>
        <b val="0"/>
        <i val="0"/>
        <strike val="0"/>
        <condense val="0"/>
        <extend val="0"/>
        <outline val="0"/>
        <shadow val="0"/>
        <u val="none"/>
        <vertAlign val="baseline"/>
        <sz val="10"/>
        <color rgb="FF000000"/>
        <name val="Arial"/>
        <scheme val="none"/>
      </font>
      <fill>
        <patternFill patternType="solid">
          <fgColor rgb="FFFEF9F9"/>
          <bgColor rgb="FFFFFFFF"/>
        </patternFill>
      </fill>
      <alignment horizontal="general" vertical="bottom"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1"/>
        <color theme="1"/>
        <name val="Calibri"/>
        <scheme val="minor"/>
      </font>
    </dxf>
    <dxf>
      <numFmt numFmtId="0" formatCode="General"/>
    </dxf>
    <dxf>
      <numFmt numFmtId="0" formatCode="General"/>
    </dxf>
    <dxf>
      <numFmt numFmtId="166" formatCode="\₹#,##0.00"/>
    </dxf>
    <dxf>
      <font>
        <b val="0"/>
        <i val="0"/>
        <strike val="0"/>
        <condense val="0"/>
        <extend val="0"/>
        <outline val="0"/>
        <shadow val="0"/>
        <u val="none"/>
        <vertAlign val="baseline"/>
        <sz val="9"/>
        <color rgb="FF666666"/>
        <name val="Calibri"/>
        <scheme val="none"/>
      </font>
      <numFmt numFmtId="0" formatCode="General"/>
      <fill>
        <patternFill patternType="solid">
          <fgColor rgb="FFF5F5F5"/>
          <bgColor rgb="FFF0F4FA"/>
        </patternFill>
      </fill>
      <alignment horizontal="left" vertical="center" textRotation="0" wrapText="0" indent="1" justifyLastLine="0" shrinkToFit="0" readingOrder="0"/>
      <border diagonalUp="0" diagonalDown="0" outline="0">
        <left style="thin">
          <color rgb="FFCCCCCC"/>
        </left>
        <right style="thin">
          <color rgb="FFCCCCCC"/>
        </right>
        <top/>
        <bottom/>
      </border>
      <protection locked="1" hidden="0"/>
    </dxf>
    <dxf>
      <font>
        <b val="0"/>
        <i val="0"/>
        <strike val="0"/>
        <condense val="0"/>
        <extend val="0"/>
        <outline val="0"/>
        <shadow val="0"/>
        <u val="none"/>
        <vertAlign val="baseline"/>
        <sz val="10"/>
        <color auto="1"/>
        <name val="Calibri"/>
        <scheme val="none"/>
      </font>
      <numFmt numFmtId="0" formatCode="General"/>
      <fill>
        <patternFill patternType="solid">
          <fgColor rgb="FFF5F5F5"/>
          <bgColor rgb="FFF0F4FA"/>
        </patternFill>
      </fill>
      <alignment horizontal="right" vertical="center" textRotation="0" wrapText="0" indent="0" justifyLastLine="0" shrinkToFit="0" readingOrder="0"/>
      <border diagonalUp="0" diagonalDown="0" outline="0">
        <left style="thin">
          <color rgb="FFCCCCCC"/>
        </left>
        <right style="thin">
          <color rgb="FFCCCCCC"/>
        </right>
        <top/>
        <bottom/>
      </border>
      <protection locked="1" hidden="0"/>
    </dxf>
    <dxf>
      <font>
        <b val="0"/>
        <i val="0"/>
        <strike val="0"/>
        <condense val="0"/>
        <extend val="0"/>
        <outline val="0"/>
        <shadow val="0"/>
        <u val="none"/>
        <vertAlign val="baseline"/>
        <sz val="10"/>
        <color rgb="FF000000"/>
        <name val="Calibri"/>
        <scheme val="none"/>
      </font>
      <numFmt numFmtId="0" formatCode="General"/>
      <fill>
        <patternFill patternType="solid">
          <fgColor rgb="FFF5F5F5"/>
          <bgColor rgb="FFF0F4FA"/>
        </patternFill>
      </fill>
      <alignment horizontal="left" vertical="center" textRotation="0" wrapText="0" indent="2" justifyLastLine="0" shrinkToFit="0" readingOrder="0"/>
      <border diagonalUp="0" diagonalDown="0" outline="0">
        <left style="thin">
          <color rgb="FFCCCCCC"/>
        </left>
        <right style="thin">
          <color rgb="FFCCCCCC"/>
        </right>
        <top/>
        <bottom/>
      </border>
      <protection locked="1" hidden="0"/>
    </dxf>
    <dxf>
      <font>
        <b val="0"/>
        <i val="0"/>
        <strike val="0"/>
        <condense val="0"/>
        <extend val="0"/>
        <outline val="0"/>
        <shadow val="0"/>
        <u val="none"/>
        <vertAlign val="baseline"/>
        <sz val="10"/>
        <color rgb="FF000000"/>
        <name val="Calibri"/>
        <scheme val="none"/>
      </font>
      <numFmt numFmtId="0" formatCode="General"/>
      <fill>
        <patternFill patternType="solid">
          <fgColor rgb="FFF5F5F5"/>
          <bgColor rgb="FFF0F4FA"/>
        </patternFill>
      </fill>
      <alignment horizontal="center" vertical="center" textRotation="0" wrapText="0" indent="0" justifyLastLine="0" shrinkToFit="0" readingOrder="0"/>
      <border diagonalUp="0" diagonalDown="0" outline="0">
        <left style="thin">
          <color rgb="FFCCCCCC"/>
        </left>
        <right style="thin">
          <color rgb="FFCCCCCC"/>
        </right>
        <top/>
        <bottom/>
      </border>
      <protection locked="1" hidden="0"/>
    </dxf>
    <dxf>
      <alignment horizontal="right"/>
    </dxf>
    <dxf>
      <alignment vertical="top"/>
    </dxf>
    <dxf>
      <numFmt numFmtId="167" formatCode=";;;"/>
    </dxf>
    <dxf>
      <numFmt numFmtId="167" formatCode=";;;"/>
    </dxf>
    <dxf>
      <alignment horizontal="right"/>
    </dxf>
    <dxf>
      <alignment vertical="top"/>
    </dxf>
    <dxf>
      <numFmt numFmtId="167" formatCode=";;;"/>
    </dxf>
    <dxf>
      <numFmt numFmtId="167" formatCode=";;;"/>
    </dxf>
    <dxf>
      <alignment horizontal="right"/>
    </dxf>
    <dxf>
      <alignment vertical="top"/>
    </dxf>
    <dxf>
      <numFmt numFmtId="167" formatCode=";;;"/>
    </dxf>
    <dxf>
      <numFmt numFmtId="167" formatCode=";;;"/>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1889760</xdr:colOff>
      <xdr:row>3</xdr:row>
      <xdr:rowOff>33410</xdr:rowOff>
    </xdr:from>
    <xdr:to>
      <xdr:col>4</xdr:col>
      <xdr:colOff>96129</xdr:colOff>
      <xdr:row>16</xdr:row>
      <xdr:rowOff>49285</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E0ED22B4-8363-C360-0AFA-B43E8817C2F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281966" y="683351"/>
              <a:ext cx="1825869" cy="2357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599635</xdr:colOff>
      <xdr:row>3</xdr:row>
      <xdr:rowOff>32824</xdr:rowOff>
    </xdr:from>
    <xdr:to>
      <xdr:col>1</xdr:col>
      <xdr:colOff>1823552</xdr:colOff>
      <xdr:row>16</xdr:row>
      <xdr:rowOff>48699</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8996E0C2-DB2B-1F7D-9B9F-395E13981FB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93895" y="682765"/>
              <a:ext cx="1821863" cy="2357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348343</xdr:colOff>
      <xdr:row>1</xdr:row>
      <xdr:rowOff>7258</xdr:rowOff>
    </xdr:from>
    <xdr:to>
      <xdr:col>9</xdr:col>
      <xdr:colOff>1814286</xdr:colOff>
      <xdr:row>2</xdr:row>
      <xdr:rowOff>94343</xdr:rowOff>
    </xdr:to>
    <xdr:sp macro="" textlink="">
      <xdr:nvSpPr>
        <xdr:cNvPr id="4" name="TextBox 3">
          <a:extLst>
            <a:ext uri="{FF2B5EF4-FFF2-40B4-BE49-F238E27FC236}">
              <a16:creationId xmlns:a16="http://schemas.microsoft.com/office/drawing/2014/main" id="{BCF2CB88-54BD-EA42-DC3D-933111B6B565}"/>
            </a:ext>
          </a:extLst>
        </xdr:cNvPr>
        <xdr:cNvSpPr txBox="1"/>
      </xdr:nvSpPr>
      <xdr:spPr>
        <a:xfrm>
          <a:off x="9499600" y="58058"/>
          <a:ext cx="1465943"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INCOME</a:t>
          </a:r>
        </a:p>
      </xdr:txBody>
    </xdr:sp>
    <xdr:clientData/>
  </xdr:twoCellAnchor>
  <xdr:twoCellAnchor>
    <xdr:from>
      <xdr:col>9</xdr:col>
      <xdr:colOff>2133595</xdr:colOff>
      <xdr:row>1</xdr:row>
      <xdr:rowOff>7261</xdr:rowOff>
    </xdr:from>
    <xdr:to>
      <xdr:col>11</xdr:col>
      <xdr:colOff>123366</xdr:colOff>
      <xdr:row>2</xdr:row>
      <xdr:rowOff>94346</xdr:rowOff>
    </xdr:to>
    <xdr:sp macro="" textlink="">
      <xdr:nvSpPr>
        <xdr:cNvPr id="5" name="TextBox 4">
          <a:extLst>
            <a:ext uri="{FF2B5EF4-FFF2-40B4-BE49-F238E27FC236}">
              <a16:creationId xmlns:a16="http://schemas.microsoft.com/office/drawing/2014/main" id="{B7871BFD-2284-4532-85D2-AFA37EADB84C}"/>
            </a:ext>
          </a:extLst>
        </xdr:cNvPr>
        <xdr:cNvSpPr txBox="1"/>
      </xdr:nvSpPr>
      <xdr:spPr>
        <a:xfrm>
          <a:off x="11284852" y="58061"/>
          <a:ext cx="1465943"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50000"/>
                </a:schemeClr>
              </a:solidFill>
            </a:rPr>
            <a:t>EXPENSE</a:t>
          </a:r>
        </a:p>
      </xdr:txBody>
    </xdr:sp>
    <xdr:clientData/>
  </xdr:twoCellAnchor>
  <xdr:twoCellAnchor>
    <xdr:from>
      <xdr:col>10</xdr:col>
      <xdr:colOff>1299022</xdr:colOff>
      <xdr:row>1</xdr:row>
      <xdr:rowOff>7264</xdr:rowOff>
    </xdr:from>
    <xdr:to>
      <xdr:col>12</xdr:col>
      <xdr:colOff>108850</xdr:colOff>
      <xdr:row>2</xdr:row>
      <xdr:rowOff>94349</xdr:rowOff>
    </xdr:to>
    <xdr:sp macro="" textlink="">
      <xdr:nvSpPr>
        <xdr:cNvPr id="6" name="TextBox 5">
          <a:extLst>
            <a:ext uri="{FF2B5EF4-FFF2-40B4-BE49-F238E27FC236}">
              <a16:creationId xmlns:a16="http://schemas.microsoft.com/office/drawing/2014/main" id="{204FFCBA-EA00-4D34-87BE-C6041C0FC117}"/>
            </a:ext>
          </a:extLst>
        </xdr:cNvPr>
        <xdr:cNvSpPr txBox="1"/>
      </xdr:nvSpPr>
      <xdr:spPr>
        <a:xfrm>
          <a:off x="12598393" y="58064"/>
          <a:ext cx="1465943"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3">
                  <a:lumMod val="50000"/>
                </a:schemeClr>
              </a:solidFill>
            </a:rPr>
            <a:t>NET</a:t>
          </a:r>
          <a:r>
            <a:rPr lang="en-IN" sz="1400" b="1" baseline="0">
              <a:solidFill>
                <a:schemeClr val="accent3">
                  <a:lumMod val="50000"/>
                </a:schemeClr>
              </a:solidFill>
            </a:rPr>
            <a:t> SAVINGS</a:t>
          </a:r>
        </a:p>
      </xdr:txBody>
    </xdr:sp>
    <xdr:clientData/>
  </xdr:twoCellAnchor>
  <xdr:twoCellAnchor editAs="oneCell">
    <xdr:from>
      <xdr:col>0</xdr:col>
      <xdr:colOff>380953</xdr:colOff>
      <xdr:row>0</xdr:row>
      <xdr:rowOff>5</xdr:rowOff>
    </xdr:from>
    <xdr:to>
      <xdr:col>1</xdr:col>
      <xdr:colOff>717645</xdr:colOff>
      <xdr:row>3</xdr:row>
      <xdr:rowOff>88604</xdr:rowOff>
    </xdr:to>
    <xdr:pic>
      <xdr:nvPicPr>
        <xdr:cNvPr id="8" name="Graphic 7" descr="Abacus outline">
          <a:extLst>
            <a:ext uri="{FF2B5EF4-FFF2-40B4-BE49-F238E27FC236}">
              <a16:creationId xmlns:a16="http://schemas.microsoft.com/office/drawing/2014/main" id="{05C3C24E-0055-67B1-57EB-6AD63117A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953" y="5"/>
          <a:ext cx="735413" cy="7354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7.455087962961" createdVersion="8" refreshedVersion="8" minRefreshableVersion="3" recordCount="340" xr:uid="{E9EC507E-9DAA-44B4-9141-F9F908E52345}">
  <cacheSource type="worksheet">
    <worksheetSource name="Table4"/>
  </cacheSource>
  <cacheFields count="13">
    <cacheField name="Accounts" numFmtId="0">
      <sharedItems/>
    </cacheField>
    <cacheField name="Date" numFmtId="164">
      <sharedItems containsSemiMixedTypes="0" containsNonDate="0" containsDate="1" containsString="0" minDate="2023-07-01T00:00:00" maxDate="2026-07-01T00:00:00" count="219">
        <d v="2023-07-01T00:00:00"/>
        <d v="2023-07-05T00:00:00"/>
        <d v="2023-07-26T00:00:00"/>
        <d v="2023-07-28T00:00:00"/>
        <d v="2023-07-31T00:00:00"/>
        <d v="2023-08-02T00:00:00"/>
        <d v="2023-08-14T00:00:00"/>
        <d v="2023-08-16T00:00:00"/>
        <d v="2023-09-10T00:00:00"/>
        <d v="2023-09-19T00:00:00"/>
        <d v="2023-09-20T00:00:00"/>
        <d v="2023-09-28T00:00:00"/>
        <d v="2023-10-03T00:00:00"/>
        <d v="2023-10-04T00:00:00"/>
        <d v="2023-10-08T00:00:00"/>
        <d v="2023-10-12T00:00:00"/>
        <d v="2023-10-13T00:00:00"/>
        <d v="2023-10-23T00:00:00"/>
        <d v="2023-11-05T00:00:00"/>
        <d v="2023-11-20T00:00:00"/>
        <d v="2023-12-07T00:00:00"/>
        <d v="2023-12-11T00:00:00"/>
        <d v="2023-12-14T00:00:00"/>
        <d v="2024-01-13T00:00:00"/>
        <d v="2024-01-20T00:00:00"/>
        <d v="2024-01-31T00:00:00"/>
        <d v="2024-02-06T00:00:00"/>
        <d v="2024-02-09T00:00:00"/>
        <d v="2024-02-11T00:00:00"/>
        <d v="2024-02-14T00:00:00"/>
        <d v="2024-02-19T00:00:00"/>
        <d v="2024-02-24T00:00:00"/>
        <d v="2024-03-07T00:00:00"/>
        <d v="2024-03-27T00:00:00"/>
        <d v="2024-04-07T00:00:00"/>
        <d v="2024-04-10T00:00:00"/>
        <d v="2024-04-22T00:00:00"/>
        <d v="2024-04-26T00:00:00"/>
        <d v="2024-06-09T00:00:00"/>
        <d v="2024-06-13T00:00:00"/>
        <d v="2024-06-17T00:00:00"/>
        <d v="2024-06-28T00:00:00"/>
        <d v="2024-07-02T00:00:00"/>
        <d v="2024-07-05T00:00:00"/>
        <d v="2024-07-08T00:00:00"/>
        <d v="2024-07-14T00:00:00"/>
        <d v="2024-07-22T00:00:00"/>
        <d v="2024-07-24T00:00:00"/>
        <d v="2024-09-02T00:00:00"/>
        <d v="2024-09-05T00:00:00"/>
        <d v="2024-10-02T00:00:00"/>
        <d v="2024-10-07T00:00:00"/>
        <d v="2024-10-13T00:00:00"/>
        <d v="2024-11-29T00:00:00"/>
        <d v="2024-12-31T00:00:00"/>
        <d v="2025-01-09T00:00:00"/>
        <d v="2025-01-16T00:00:00"/>
        <d v="2025-01-25T00:00:00"/>
        <d v="2025-02-11T00:00:00"/>
        <d v="2025-02-23T00:00:00"/>
        <d v="2025-02-24T00:00:00"/>
        <d v="2025-03-08T00:00:00"/>
        <d v="2025-03-10T00:00:00"/>
        <d v="2025-03-25T00:00:00"/>
        <d v="2025-04-04T00:00:00"/>
        <d v="2025-04-11T00:00:00"/>
        <d v="2025-04-15T00:00:00"/>
        <d v="2025-04-26T00:00:00"/>
        <d v="2025-05-08T00:00:00"/>
        <d v="2025-05-23T00:00:00"/>
        <d v="2025-06-14T00:00:00"/>
        <d v="2025-06-18T00:00:00"/>
        <d v="2025-06-30T00:00:00"/>
        <d v="2025-07-01T00:00:00"/>
        <d v="2025-07-02T00:00:00"/>
        <d v="2025-07-03T00:00:00"/>
        <d v="2025-07-04T00:00:00"/>
        <d v="2025-07-05T00:00:00"/>
        <d v="2025-07-07T00:00:00"/>
        <d v="2025-07-09T00:00:00"/>
        <d v="2025-07-10T00:00:00"/>
        <d v="2025-07-12T00:00:00"/>
        <d v="2025-07-15T00:00:00"/>
        <d v="2025-07-18T00:00:00"/>
        <d v="2025-07-20T00:00:00"/>
        <d v="2025-07-22T00:00:00"/>
        <d v="2025-07-25T00:00:00"/>
        <d v="2025-07-28T00:00:00"/>
        <d v="2025-07-30T00:00:00"/>
        <d v="2025-08-01T00:00:00"/>
        <d v="2025-08-02T00:00:00"/>
        <d v="2025-08-03T00:00:00"/>
        <d v="2025-08-04T00:00:00"/>
        <d v="2025-08-05T00:00:00"/>
        <d v="2025-08-08T00:00:00"/>
        <d v="2025-08-10T00:00:00"/>
        <d v="2025-08-12T00:00:00"/>
        <d v="2025-08-15T00:00:00"/>
        <d v="2025-08-18T00:00:00"/>
        <d v="2025-08-25T00:00:00"/>
        <d v="2025-08-28T00:00:00"/>
        <d v="2025-09-01T00:00:00"/>
        <d v="2025-09-02T00:00:00"/>
        <d v="2025-09-03T00:00:00"/>
        <d v="2025-09-05T00:00:00"/>
        <d v="2025-09-08T00:00:00"/>
        <d v="2025-09-10T00:00:00"/>
        <d v="2025-09-12T00:00:00"/>
        <d v="2025-09-15T00:00:00"/>
        <d v="2025-09-20T00:00:00"/>
        <d v="2025-09-22T00:00:00"/>
        <d v="2025-09-25T00:00:00"/>
        <d v="2025-09-28T00:00:00"/>
        <d v="2025-10-01T00:00:00"/>
        <d v="2025-10-02T00:00:00"/>
        <d v="2025-10-03T00:00:00"/>
        <d v="2025-10-05T00:00:00"/>
        <d v="2025-10-08T00:00:00"/>
        <d v="2025-10-10T00:00:00"/>
        <d v="2025-10-15T00:00:00"/>
        <d v="2025-10-18T00:00:00"/>
        <d v="2025-10-20T00:00:00"/>
        <d v="2025-10-25T00:00:00"/>
        <d v="2025-10-28T00:00:00"/>
        <d v="2025-10-30T00:00:00"/>
        <d v="2025-11-01T00:00:00"/>
        <d v="2025-11-02T00:00:00"/>
        <d v="2025-11-03T00:00:00"/>
        <d v="2025-11-05T00:00:00"/>
        <d v="2025-11-08T00:00:00"/>
        <d v="2025-11-10T00:00:00"/>
        <d v="2025-11-15T00:00:00"/>
        <d v="2025-11-20T00:00:00"/>
        <d v="2025-11-22T00:00:00"/>
        <d v="2025-11-25T00:00:00"/>
        <d v="2025-11-28T00:00:00"/>
        <d v="2025-12-01T00:00:00"/>
        <d v="2025-12-02T00:00:00"/>
        <d v="2025-12-03T00:00:00"/>
        <d v="2025-12-05T00:00:00"/>
        <d v="2025-12-08T00:00:00"/>
        <d v="2025-12-10T00:00:00"/>
        <d v="2025-12-15T00:00:00"/>
        <d v="2025-12-18T00:00:00"/>
        <d v="2025-12-20T00:00:00"/>
        <d v="2025-12-25T00:00:00"/>
        <d v="2025-12-28T00:00:00"/>
        <d v="2026-01-01T00:00:00"/>
        <d v="2026-01-02T00:00:00"/>
        <d v="2026-01-03T00:00:00"/>
        <d v="2026-01-05T00:00:00"/>
        <d v="2026-01-08T00:00:00"/>
        <d v="2026-01-10T00:00:00"/>
        <d v="2026-01-12T00:00:00"/>
        <d v="2026-01-15T00:00:00"/>
        <d v="2026-01-20T00:00:00"/>
        <d v="2026-01-25T00:00:00"/>
        <d v="2026-01-28T00:00:00"/>
        <d v="2026-01-30T00:00:00"/>
        <d v="2026-02-01T00:00:00"/>
        <d v="2026-02-02T00:00:00"/>
        <d v="2026-02-03T00:00:00"/>
        <d v="2026-02-05T00:00:00"/>
        <d v="2026-02-08T00:00:00"/>
        <d v="2026-02-10T00:00:00"/>
        <d v="2026-02-12T00:00:00"/>
        <d v="2026-02-14T00:00:00"/>
        <d v="2026-02-20T00:00:00"/>
        <d v="2026-02-22T00:00:00"/>
        <d v="2026-02-25T00:00:00"/>
        <d v="2026-02-28T00:00:00"/>
        <d v="2026-03-01T00:00:00"/>
        <d v="2026-03-02T00:00:00"/>
        <d v="2026-03-03T00:00:00"/>
        <d v="2026-03-05T00:00:00"/>
        <d v="2026-03-08T00:00:00"/>
        <d v="2026-03-10T00:00:00"/>
        <d v="2026-03-12T00:00:00"/>
        <d v="2026-03-15T00:00:00"/>
        <d v="2026-03-20T00:00:00"/>
        <d v="2026-03-25T00:00:00"/>
        <d v="2026-03-28T00:00:00"/>
        <d v="2026-04-01T00:00:00"/>
        <d v="2026-04-02T00:00:00"/>
        <d v="2026-04-03T00:00:00"/>
        <d v="2026-04-05T00:00:00"/>
        <d v="2026-04-08T00:00:00"/>
        <d v="2026-04-10T00:00:00"/>
        <d v="2026-04-12T00:00:00"/>
        <d v="2026-04-15T00:00:00"/>
        <d v="2026-04-18T00:00:00"/>
        <d v="2026-04-20T00:00:00"/>
        <d v="2026-04-25T00:00:00"/>
        <d v="2026-04-28T00:00:00"/>
        <d v="2026-04-30T00:00:00"/>
        <d v="2026-05-01T00:00:00"/>
        <d v="2026-05-02T00:00:00"/>
        <d v="2026-05-03T00:00:00"/>
        <d v="2026-05-05T00:00:00"/>
        <d v="2026-05-08T00:00:00"/>
        <d v="2026-05-10T00:00:00"/>
        <d v="2026-05-12T00:00:00"/>
        <d v="2026-05-15T00:00:00"/>
        <d v="2026-05-22T00:00:00"/>
        <d v="2026-05-25T00:00:00"/>
        <d v="2026-05-28T00:00:00"/>
        <d v="2026-06-01T00:00:00"/>
        <d v="2026-06-02T00:00:00"/>
        <d v="2026-06-03T00:00:00"/>
        <d v="2026-06-05T00:00:00"/>
        <d v="2026-06-08T00:00:00"/>
        <d v="2026-06-10T00:00:00"/>
        <d v="2026-06-12T00:00:00"/>
        <d v="2026-06-15T00:00:00"/>
        <d v="2026-06-18T00:00:00"/>
        <d v="2026-06-22T00:00:00"/>
        <d v="2026-06-25T00:00:00"/>
        <d v="2026-06-28T00:00:00"/>
        <d v="2026-06-30T00:00:00"/>
      </sharedItems>
      <fieldGroup par="12"/>
    </cacheField>
    <cacheField name="Description" numFmtId="0">
      <sharedItems/>
    </cacheField>
    <cacheField name="Debit (₹)" numFmtId="0">
      <sharedItems containsSemiMixedTypes="0" containsString="0" containsNumber="1" containsInteger="1" minValue="0" maxValue="120000"/>
    </cacheField>
    <cacheField name="Credit (₹)" numFmtId="0">
      <sharedItems containsSemiMixedTypes="0" containsString="0" containsNumber="1" containsInteger="1" minValue="0" maxValue="80000"/>
    </cacheField>
    <cacheField name="Balance (₹)" numFmtId="166">
      <sharedItems containsSemiMixedTypes="0" containsString="0" containsNumber="1" containsInteger="1" minValue="-161478" maxValue="217596"/>
    </cacheField>
    <cacheField name="Remarks" numFmtId="0">
      <sharedItems containsBlank="1"/>
    </cacheField>
    <cacheField name="Income/Expense" numFmtId="166">
      <sharedItems containsSemiMixedTypes="0" containsString="0" containsNumber="1" containsInteger="1" minValue="-120000" maxValue="80000"/>
    </cacheField>
    <cacheField name="Subcategory" numFmtId="0">
      <sharedItems count="31">
        <s v="Education Loan Disbursement"/>
        <s v="Personal Grooming"/>
        <s v="Family / Parent Support"/>
        <s v="Groceries &amp; Eating Out"/>
        <s v="Mess / Canteen"/>
        <s v="Hostel / Rent"/>
        <s v="Textbooks &amp; Study Material"/>
        <s v="Electricity &amp; Water"/>
        <s v="Tuition Fees"/>
        <s v="Mobile &amp; Internet"/>
        <s v="Scholarship / Merit Award"/>
        <s v="Stationery &amp; Printing"/>
        <s v="OTT &amp; Entertainment"/>
        <s v="Inter-city Travel"/>
        <s v="Online Courses / Certs"/>
        <s v="Local Transport"/>
        <s v="Exam / University Fees"/>
        <s v="Medical / Pharmacy"/>
        <s v="Miscellaneous"/>
        <s v="Clothing &amp; Formals"/>
        <s v="Festivals &amp; Gifts"/>
        <s v="Part-time / Freelance Work"/>
        <s v="Gym / Sports"/>
        <s v="Resume / LinkedIn Premium"/>
        <s v="Placement Prep / Coaching"/>
        <s v="Monthly Salary"/>
        <s v="Mutual Fund SIP"/>
        <s v="House Rent"/>
        <s v="Loan EMI"/>
        <s v="Reimbursements / Refunds"/>
        <s v="Air Travel"/>
      </sharedItems>
    </cacheField>
    <cacheField name="Category" numFmtId="0">
      <sharedItems count="14">
        <s v="Family Support &amp; Financial Aid"/>
        <s v="Personal Care &amp; Lifestyle"/>
        <s v="Food &amp; Daily Living"/>
        <s v="Accommodation &amp; Utilities"/>
        <s v="Academic / Education Expenses"/>
        <s v="Transport &amp; Travel"/>
        <s v="Health &amp; Medical"/>
        <s v="Other Expences"/>
        <s v="Social &amp; Festival Expence "/>
        <s v="Earnings &amp; Work Income"/>
        <s v="Salary"/>
        <s v="Saving"/>
        <s v="Finance "/>
        <s v="Refunds &amp; Adjustments"/>
      </sharedItems>
    </cacheField>
    <cacheField name="Category Type" numFmtId="0">
      <sharedItems count="2">
        <s v="Income"/>
        <s v="Expense"/>
      </sharedItems>
    </cacheField>
    <cacheField name="Months (Date)" numFmtId="0" databaseField="0">
      <fieldGroup base="1">
        <rangePr groupBy="months" startDate="2023-07-01T00:00:00" endDate="2026-07-01T00:00:00"/>
        <groupItems count="14">
          <s v="&lt;01-07-2023"/>
          <s v="Jan"/>
          <s v="Feb"/>
          <s v="Mar"/>
          <s v="Apr"/>
          <s v="May"/>
          <s v="Jun"/>
          <s v="Jul"/>
          <s v="Aug"/>
          <s v="Sep"/>
          <s v="Oct"/>
          <s v="Nov"/>
          <s v="Dec"/>
          <s v="&gt;01-07-2026"/>
        </groupItems>
      </fieldGroup>
    </cacheField>
    <cacheField name="Years (Date)" numFmtId="0" databaseField="0">
      <fieldGroup base="1">
        <rangePr groupBy="years" startDate="2023-07-01T00:00:00" endDate="2026-07-01T00:00:00"/>
        <groupItems count="6">
          <s v="&lt;01-07-2023"/>
          <s v="2023"/>
          <s v="2024"/>
          <s v="2025"/>
          <s v="2026"/>
          <s v="&gt;01-07-2026"/>
        </groupItems>
      </fieldGroup>
    </cacheField>
  </cacheFields>
  <extLst>
    <ext xmlns:x14="http://schemas.microsoft.com/office/spreadsheetml/2009/9/main" uri="{725AE2AE-9491-48be-B2B4-4EB974FC3084}">
      <x14:pivotCacheDefinition pivotCacheId="1555483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s v="Saving"/>
    <x v="0"/>
    <s v="Opening Balance"/>
    <n v="0"/>
    <n v="5000"/>
    <n v="5000"/>
    <s v="Initial deposit"/>
    <n v="5000"/>
    <x v="0"/>
    <x v="0"/>
    <x v="0"/>
  </r>
  <r>
    <s v="Checking"/>
    <x v="0"/>
    <s v="Opening Deposit"/>
    <n v="0"/>
    <n v="2000"/>
    <n v="2000"/>
    <s v="Initial deposit"/>
    <n v="2000"/>
    <x v="0"/>
    <x v="0"/>
    <x v="0"/>
  </r>
  <r>
    <s v="Credit"/>
    <x v="1"/>
    <s v="Online Shopping – Flipkart"/>
    <n v="2499"/>
    <n v="0"/>
    <n v="2499"/>
    <s v="Shoes"/>
    <n v="-2499"/>
    <x v="1"/>
    <x v="1"/>
    <x v="1"/>
  </r>
  <r>
    <s v="Saving"/>
    <x v="2"/>
    <s v="Family Transfer – July"/>
    <n v="0"/>
    <n v="10000"/>
    <n v="15000"/>
    <s v="Monthly allowance"/>
    <n v="10000"/>
    <x v="2"/>
    <x v="0"/>
    <x v="0"/>
  </r>
  <r>
    <s v="Credit"/>
    <x v="2"/>
    <s v="Swiggy – Food Order"/>
    <n v="649"/>
    <n v="0"/>
    <n v="3148"/>
    <m/>
    <n v="-649"/>
    <x v="3"/>
    <x v="2"/>
    <x v="1"/>
  </r>
  <r>
    <s v="Checking"/>
    <x v="2"/>
    <s v="UPI – Pay Mess"/>
    <n v="4000"/>
    <n v="0"/>
    <n v="-2000"/>
    <s v="Mess fee via UPI"/>
    <n v="-4000"/>
    <x v="4"/>
    <x v="2"/>
    <x v="1"/>
  </r>
  <r>
    <s v="Saving"/>
    <x v="3"/>
    <s v="Hostel Fee Payment"/>
    <n v="6000"/>
    <n v="0"/>
    <n v="9000"/>
    <s v="July rent"/>
    <n v="-6000"/>
    <x v="5"/>
    <x v="3"/>
    <x v="1"/>
  </r>
  <r>
    <s v="Credit"/>
    <x v="3"/>
    <s v="Amazon – Books"/>
    <n v="1299"/>
    <n v="0"/>
    <n v="4447"/>
    <s v="MBA books"/>
    <n v="-1299"/>
    <x v="6"/>
    <x v="4"/>
    <x v="1"/>
  </r>
  <r>
    <s v="Checking"/>
    <x v="3"/>
    <s v="NEFT Received – Family"/>
    <n v="0"/>
    <n v="10000"/>
    <n v="8000"/>
    <s v="Monthly transfer"/>
    <n v="10000"/>
    <x v="2"/>
    <x v="0"/>
    <x v="0"/>
  </r>
  <r>
    <s v="Saving"/>
    <x v="4"/>
    <s v="Grocery Purchase – BigMart"/>
    <n v="1200"/>
    <n v="0"/>
    <n v="7800"/>
    <s v="Weekly grocery"/>
    <n v="-1200"/>
    <x v="3"/>
    <x v="2"/>
    <x v="1"/>
  </r>
  <r>
    <s v="Credit"/>
    <x v="4"/>
    <s v="Bill Payment – Electricity"/>
    <n v="800"/>
    <n v="0"/>
    <n v="5247"/>
    <m/>
    <n v="-800"/>
    <x v="7"/>
    <x v="3"/>
    <x v="1"/>
  </r>
  <r>
    <s v="Checking"/>
    <x v="4"/>
    <s v="UPI – Hostel Rent"/>
    <n v="6000"/>
    <n v="0"/>
    <n v="2000"/>
    <m/>
    <n v="-6000"/>
    <x v="5"/>
    <x v="3"/>
    <x v="1"/>
  </r>
  <r>
    <s v="Saving"/>
    <x v="5"/>
    <s v="Mess Fee – July"/>
    <n v="4000"/>
    <n v="0"/>
    <n v="3800"/>
    <s v="Monthly mess"/>
    <n v="-4000"/>
    <x v="4"/>
    <x v="2"/>
    <x v="1"/>
  </r>
  <r>
    <s v="Credit"/>
    <x v="5"/>
    <s v="Monthly Bill Payment"/>
    <n v="0"/>
    <n v="5000"/>
    <n v="247"/>
    <s v="Min due paid"/>
    <n v="5000"/>
    <x v="0"/>
    <x v="0"/>
    <x v="0"/>
  </r>
  <r>
    <s v="Checking"/>
    <x v="5"/>
    <s v="Cheque – Tuition Fee"/>
    <n v="120000"/>
    <n v="0"/>
    <n v="-118000"/>
    <s v="Year 1 tuition"/>
    <n v="-120000"/>
    <x v="8"/>
    <x v="4"/>
    <x v="1"/>
  </r>
  <r>
    <s v="Saving"/>
    <x v="6"/>
    <s v="Mobile Recharge"/>
    <n v="599"/>
    <n v="0"/>
    <n v="3201"/>
    <s v="Airtel prepaid"/>
    <n v="-599"/>
    <x v="9"/>
    <x v="1"/>
    <x v="1"/>
  </r>
  <r>
    <s v="Checking"/>
    <x v="6"/>
    <s v="NEFT – Loan Disbursement"/>
    <n v="0"/>
    <n v="80000"/>
    <n v="-38000"/>
    <s v="Edu loan credit"/>
    <n v="80000"/>
    <x v="0"/>
    <x v="0"/>
    <x v="0"/>
  </r>
  <r>
    <s v="Saving"/>
    <x v="7"/>
    <s v="ATM Withdrawal"/>
    <n v="2000"/>
    <n v="0"/>
    <n v="1201"/>
    <s v="Personal use"/>
    <n v="-2000"/>
    <x v="1"/>
    <x v="1"/>
    <x v="1"/>
  </r>
  <r>
    <s v="Saving"/>
    <x v="8"/>
    <s v="Scholarship Credit"/>
    <n v="0"/>
    <n v="5000"/>
    <n v="6201"/>
    <s v="Merit scholarship Q1"/>
    <n v="5000"/>
    <x v="10"/>
    <x v="0"/>
    <x v="0"/>
  </r>
  <r>
    <s v="Saving"/>
    <x v="9"/>
    <s v="Textbook Purchase"/>
    <n v="1800"/>
    <n v="0"/>
    <n v="4401"/>
    <s v="MBA textbooks"/>
    <n v="-1800"/>
    <x v="6"/>
    <x v="4"/>
    <x v="1"/>
  </r>
  <r>
    <s v="Saving"/>
    <x v="10"/>
    <s v="Family Transfer – Aug"/>
    <n v="0"/>
    <n v="10000"/>
    <n v="14401"/>
    <s v="Monthly allowance"/>
    <n v="10000"/>
    <x v="2"/>
    <x v="0"/>
    <x v="0"/>
  </r>
  <r>
    <s v="Saving"/>
    <x v="11"/>
    <s v="Hostel Fee – Aug"/>
    <n v="6000"/>
    <n v="0"/>
    <n v="8401"/>
    <s v="August rent"/>
    <n v="-6000"/>
    <x v="5"/>
    <x v="3"/>
    <x v="1"/>
  </r>
  <r>
    <s v="Credit"/>
    <x v="11"/>
    <s v="Zomato – Food"/>
    <n v="499"/>
    <n v="0"/>
    <n v="746"/>
    <m/>
    <n v="-499"/>
    <x v="3"/>
    <x v="2"/>
    <x v="1"/>
  </r>
  <r>
    <s v="Checking"/>
    <x v="11"/>
    <s v="IMPS – Stationery Shop"/>
    <n v="450"/>
    <n v="0"/>
    <n v="-38450"/>
    <m/>
    <n v="-450"/>
    <x v="11"/>
    <x v="4"/>
    <x v="1"/>
  </r>
  <r>
    <s v="Saving"/>
    <x v="12"/>
    <s v="Stationery &amp; Printing"/>
    <n v="450"/>
    <n v="0"/>
    <n v="7951"/>
    <s v="Notes printing"/>
    <n v="-450"/>
    <x v="11"/>
    <x v="4"/>
    <x v="1"/>
  </r>
  <r>
    <s v="Checking"/>
    <x v="12"/>
    <s v="UPI – Grocery"/>
    <n v="900"/>
    <n v="0"/>
    <n v="-39350"/>
    <m/>
    <n v="-900"/>
    <x v="3"/>
    <x v="2"/>
    <x v="1"/>
  </r>
  <r>
    <s v="Saving"/>
    <x v="13"/>
    <s v="Mess Fee – Aug"/>
    <n v="4000"/>
    <n v="0"/>
    <n v="3951"/>
    <s v="Monthly mess"/>
    <n v="-4000"/>
    <x v="4"/>
    <x v="2"/>
    <x v="1"/>
  </r>
  <r>
    <s v="Credit"/>
    <x v="13"/>
    <s v="OTT – Netflix"/>
    <n v="199"/>
    <n v="0"/>
    <n v="945"/>
    <s v="Monthly sub"/>
    <n v="-199"/>
    <x v="12"/>
    <x v="1"/>
    <x v="1"/>
  </r>
  <r>
    <s v="Checking"/>
    <x v="13"/>
    <s v="RTGS – Received Scholarship"/>
    <n v="0"/>
    <n v="5000"/>
    <n v="-34350"/>
    <m/>
    <n v="5000"/>
    <x v="10"/>
    <x v="0"/>
    <x v="0"/>
  </r>
  <r>
    <s v="Saving"/>
    <x v="14"/>
    <s v="Electricity Bill"/>
    <n v="800"/>
    <n v="0"/>
    <n v="3151"/>
    <s v="Shared room bill"/>
    <n v="-800"/>
    <x v="7"/>
    <x v="3"/>
    <x v="1"/>
  </r>
  <r>
    <s v="Checking"/>
    <x v="14"/>
    <s v="UPI – Transport Card"/>
    <n v="1000"/>
    <n v="0"/>
    <n v="-35350"/>
    <s v="Bus pass"/>
    <n v="-1000"/>
    <x v="13"/>
    <x v="5"/>
    <x v="1"/>
  </r>
  <r>
    <s v="Saving"/>
    <x v="15"/>
    <s v="Online Course – Coursera"/>
    <n v="1999"/>
    <n v="0"/>
    <n v="1152"/>
    <s v="Digital Marketing"/>
    <n v="-1999"/>
    <x v="14"/>
    <x v="4"/>
    <x v="1"/>
  </r>
  <r>
    <s v="Saving"/>
    <x v="16"/>
    <s v="Auto Fare – Semester"/>
    <n v="1000"/>
    <n v="0"/>
    <n v="152"/>
    <s v="Monthly commute"/>
    <n v="-1000"/>
    <x v="15"/>
    <x v="5"/>
    <x v="1"/>
  </r>
  <r>
    <s v="Saving"/>
    <x v="16"/>
    <s v="Family Transfer – Sep"/>
    <n v="0"/>
    <n v="10000"/>
    <n v="10152"/>
    <s v="Monthly allowance"/>
    <n v="10000"/>
    <x v="2"/>
    <x v="0"/>
    <x v="0"/>
  </r>
  <r>
    <s v="Credit"/>
    <x v="16"/>
    <s v="Petrol – HPCL"/>
    <n v="500"/>
    <n v="0"/>
    <n v="1445"/>
    <m/>
    <n v="-500"/>
    <x v="15"/>
    <x v="5"/>
    <x v="1"/>
  </r>
  <r>
    <s v="Checking"/>
    <x v="16"/>
    <s v="NEFT – Family"/>
    <n v="0"/>
    <n v="10000"/>
    <n v="-25350"/>
    <m/>
    <n v="10000"/>
    <x v="2"/>
    <x v="0"/>
    <x v="0"/>
  </r>
  <r>
    <s v="Checking"/>
    <x v="16"/>
    <s v="UPI – Mess"/>
    <n v="4000"/>
    <n v="0"/>
    <n v="-29350"/>
    <m/>
    <n v="-4000"/>
    <x v="4"/>
    <x v="2"/>
    <x v="1"/>
  </r>
  <r>
    <s v="Saving"/>
    <x v="17"/>
    <s v="Hostel Fee – Sep"/>
    <n v="6000"/>
    <n v="0"/>
    <n v="4152"/>
    <s v="September rent"/>
    <n v="-6000"/>
    <x v="5"/>
    <x v="3"/>
    <x v="1"/>
  </r>
  <r>
    <s v="Credit"/>
    <x v="17"/>
    <s v="Grooming – Salon"/>
    <n v="350"/>
    <n v="0"/>
    <n v="1795"/>
    <m/>
    <n v="-350"/>
    <x v="1"/>
    <x v="1"/>
    <x v="1"/>
  </r>
  <r>
    <s v="Checking"/>
    <x v="17"/>
    <s v="UPI – Rent"/>
    <n v="6000"/>
    <n v="0"/>
    <n v="-35350"/>
    <m/>
    <n v="-6000"/>
    <x v="5"/>
    <x v="3"/>
    <x v="1"/>
  </r>
  <r>
    <s v="Saving"/>
    <x v="18"/>
    <s v="Mess Fee – Sep"/>
    <n v="4000"/>
    <n v="0"/>
    <n v="152"/>
    <s v="Monthly mess"/>
    <n v="-4000"/>
    <x v="4"/>
    <x v="2"/>
    <x v="1"/>
  </r>
  <r>
    <s v="Checking"/>
    <x v="18"/>
    <s v="Cheque – Exam Fee"/>
    <n v="10000"/>
    <n v="0"/>
    <n v="-45350"/>
    <m/>
    <n v="-10000"/>
    <x v="16"/>
    <x v="4"/>
    <x v="1"/>
  </r>
  <r>
    <s v="Saving"/>
    <x v="19"/>
    <s v="Medical – Pharmacy"/>
    <n v="380"/>
    <n v="0"/>
    <n v="-228"/>
    <s v="Medicine"/>
    <n v="-380"/>
    <x v="17"/>
    <x v="6"/>
    <x v="1"/>
  </r>
  <r>
    <s v="Credit"/>
    <x v="19"/>
    <s v="Medical – 1mg"/>
    <n v="299"/>
    <n v="0"/>
    <n v="2094"/>
    <m/>
    <n v="-299"/>
    <x v="17"/>
    <x v="6"/>
    <x v="1"/>
  </r>
  <r>
    <s v="Checking"/>
    <x v="19"/>
    <s v="UPI – Medical"/>
    <n v="380"/>
    <n v="0"/>
    <n v="-45730"/>
    <m/>
    <n v="-380"/>
    <x v="17"/>
    <x v="6"/>
    <x v="1"/>
  </r>
  <r>
    <s v="Saving"/>
    <x v="20"/>
    <s v="ATM Withdrawal"/>
    <n v="1500"/>
    <n v="0"/>
    <n v="-1728"/>
    <m/>
    <n v="-1500"/>
    <x v="18"/>
    <x v="7"/>
    <x v="1"/>
  </r>
  <r>
    <s v="Credit"/>
    <x v="20"/>
    <s v="Bill Payment"/>
    <n v="0"/>
    <n v="3000"/>
    <n v="-906"/>
    <m/>
    <n v="3000"/>
    <x v="0"/>
    <x v="0"/>
    <x v="0"/>
  </r>
  <r>
    <s v="Checking"/>
    <x v="20"/>
    <s v="NEFT – Family"/>
    <n v="0"/>
    <n v="10000"/>
    <n v="-35730"/>
    <m/>
    <n v="10000"/>
    <x v="2"/>
    <x v="0"/>
    <x v="0"/>
  </r>
  <r>
    <s v="Saving"/>
    <x v="21"/>
    <s v="Exam Fee – Sem 1"/>
    <n v="10000"/>
    <n v="0"/>
    <n v="-11728"/>
    <s v="University exam fee"/>
    <n v="-10000"/>
    <x v="16"/>
    <x v="4"/>
    <x v="1"/>
  </r>
  <r>
    <s v="Credit"/>
    <x v="21"/>
    <s v="Myntra – Clothing"/>
    <n v="1899"/>
    <n v="0"/>
    <n v="993"/>
    <s v="Formal shirt"/>
    <n v="-1899"/>
    <x v="19"/>
    <x v="1"/>
    <x v="1"/>
  </r>
  <r>
    <s v="Checking"/>
    <x v="21"/>
    <s v="UPI – Mess"/>
    <n v="4000"/>
    <n v="0"/>
    <n v="-39730"/>
    <m/>
    <n v="-4000"/>
    <x v="4"/>
    <x v="2"/>
    <x v="1"/>
  </r>
  <r>
    <s v="Saving"/>
    <x v="22"/>
    <s v="Family Transfer – Oct"/>
    <n v="0"/>
    <n v="10000"/>
    <n v="-1728"/>
    <s v="Monthly allowance"/>
    <n v="10000"/>
    <x v="2"/>
    <x v="0"/>
    <x v="0"/>
  </r>
  <r>
    <s v="Saving"/>
    <x v="23"/>
    <s v="Hostel Fee – Oct"/>
    <n v="6000"/>
    <n v="0"/>
    <n v="-7728"/>
    <s v="October rent"/>
    <n v="-6000"/>
    <x v="5"/>
    <x v="3"/>
    <x v="1"/>
  </r>
  <r>
    <s v="Saving"/>
    <x v="24"/>
    <s v="Mess Fee – Oct"/>
    <n v="4000"/>
    <n v="0"/>
    <n v="-11728"/>
    <s v="Monthly mess"/>
    <n v="-4000"/>
    <x v="4"/>
    <x v="2"/>
    <x v="1"/>
  </r>
  <r>
    <s v="Credit"/>
    <x v="24"/>
    <s v="Uber – Cab"/>
    <n v="350"/>
    <n v="0"/>
    <n v="1343"/>
    <m/>
    <n v="-350"/>
    <x v="15"/>
    <x v="5"/>
    <x v="1"/>
  </r>
  <r>
    <s v="Checking"/>
    <x v="24"/>
    <s v="UPI – Rent"/>
    <n v="6000"/>
    <n v="0"/>
    <n v="-45730"/>
    <m/>
    <n v="-6000"/>
    <x v="5"/>
    <x v="3"/>
    <x v="1"/>
  </r>
  <r>
    <s v="Saving"/>
    <x v="25"/>
    <s v="Scholarship Credit Q2"/>
    <n v="0"/>
    <n v="5000"/>
    <n v="-6728"/>
    <s v="Merit scholarship Q2"/>
    <n v="5000"/>
    <x v="10"/>
    <x v="0"/>
    <x v="0"/>
  </r>
  <r>
    <s v="Saving"/>
    <x v="26"/>
    <s v="Clothing – Shoppers Stop"/>
    <n v="3200"/>
    <n v="0"/>
    <n v="-9928"/>
    <s v="Formal wear"/>
    <n v="-3200"/>
    <x v="19"/>
    <x v="1"/>
    <x v="1"/>
  </r>
  <r>
    <s v="Credit"/>
    <x v="26"/>
    <s v="Restaurant – Dining"/>
    <n v="899"/>
    <n v="0"/>
    <n v="2242"/>
    <s v="Birthday dinner"/>
    <n v="-899"/>
    <x v="3"/>
    <x v="2"/>
    <x v="1"/>
  </r>
  <r>
    <s v="Checking"/>
    <x v="26"/>
    <s v="Cash Deposit"/>
    <n v="0"/>
    <n v="3000"/>
    <n v="-42730"/>
    <s v="Self deposit"/>
    <n v="3000"/>
    <x v="18"/>
    <x v="7"/>
    <x v="1"/>
  </r>
  <r>
    <s v="Saving"/>
    <x v="27"/>
    <s v="Online Order – Amazon"/>
    <n v="799"/>
    <n v="0"/>
    <n v="-10727"/>
    <s v="Study lamp"/>
    <n v="-799"/>
    <x v="20"/>
    <x v="8"/>
    <x v="1"/>
  </r>
  <r>
    <s v="Credit"/>
    <x v="27"/>
    <s v="Coursera Subscription"/>
    <n v="1999"/>
    <n v="0"/>
    <n v="4241"/>
    <m/>
    <n v="-1999"/>
    <x v="14"/>
    <x v="4"/>
    <x v="1"/>
  </r>
  <r>
    <s v="Checking"/>
    <x v="27"/>
    <s v="UPI – Online Course"/>
    <n v="1999"/>
    <n v="0"/>
    <n v="-44729"/>
    <m/>
    <n v="-1999"/>
    <x v="14"/>
    <x v="4"/>
    <x v="1"/>
  </r>
  <r>
    <s v="Saving"/>
    <x v="28"/>
    <s v="Family Transfer – Nov"/>
    <n v="0"/>
    <n v="10000"/>
    <n v="-727"/>
    <s v="Monthly allowance"/>
    <n v="10000"/>
    <x v="2"/>
    <x v="0"/>
    <x v="0"/>
  </r>
  <r>
    <s v="Credit"/>
    <x v="28"/>
    <s v="Bill Payment"/>
    <n v="0"/>
    <n v="5000"/>
    <n v="-759"/>
    <m/>
    <n v="5000"/>
    <x v="0"/>
    <x v="0"/>
    <x v="0"/>
  </r>
  <r>
    <s v="Checking"/>
    <x v="28"/>
    <s v="NEFT – Family"/>
    <n v="0"/>
    <n v="10000"/>
    <n v="-34729"/>
    <m/>
    <n v="10000"/>
    <x v="2"/>
    <x v="0"/>
    <x v="0"/>
  </r>
  <r>
    <s v="Saving"/>
    <x v="29"/>
    <s v="Hostel Fee – Nov"/>
    <n v="6000"/>
    <n v="0"/>
    <n v="-6727"/>
    <s v="November rent"/>
    <n v="-6000"/>
    <x v="5"/>
    <x v="3"/>
    <x v="1"/>
  </r>
  <r>
    <s v="Credit"/>
    <x v="29"/>
    <s v="Amazon – Stationery"/>
    <n v="549"/>
    <n v="0"/>
    <n v="-210"/>
    <m/>
    <n v="-549"/>
    <x v="11"/>
    <x v="4"/>
    <x v="1"/>
  </r>
  <r>
    <s v="Checking"/>
    <x v="29"/>
    <s v="UPI – Electricity Bill"/>
    <n v="800"/>
    <n v="0"/>
    <n v="-35529"/>
    <m/>
    <n v="-800"/>
    <x v="7"/>
    <x v="3"/>
    <x v="1"/>
  </r>
  <r>
    <s v="Saving"/>
    <x v="30"/>
    <s v="Mess Fee – Nov"/>
    <n v="4000"/>
    <n v="0"/>
    <n v="-10727"/>
    <s v="Monthly mess"/>
    <n v="-4000"/>
    <x v="4"/>
    <x v="2"/>
    <x v="1"/>
  </r>
  <r>
    <s v="Saving"/>
    <x v="31"/>
    <s v="Freelance Income"/>
    <n v="0"/>
    <n v="2000"/>
    <n v="-8727"/>
    <s v="Content writing"/>
    <n v="2000"/>
    <x v="21"/>
    <x v="9"/>
    <x v="0"/>
  </r>
  <r>
    <s v="Saving"/>
    <x v="31"/>
    <s v="Train Ticket – Home Visit"/>
    <n v="1200"/>
    <n v="0"/>
    <n v="-9927"/>
    <s v="Prayagraj–Delhi"/>
    <n v="-1200"/>
    <x v="13"/>
    <x v="5"/>
    <x v="1"/>
  </r>
  <r>
    <s v="Credit"/>
    <x v="31"/>
    <s v="Swiggy – Instamart"/>
    <n v="399"/>
    <n v="0"/>
    <n v="189"/>
    <s v="Grocery delivery"/>
    <n v="-399"/>
    <x v="3"/>
    <x v="2"/>
    <x v="1"/>
  </r>
  <r>
    <s v="Checking"/>
    <x v="31"/>
    <s v="UPI – Mess"/>
    <n v="4000"/>
    <n v="0"/>
    <n v="-39529"/>
    <m/>
    <n v="-4000"/>
    <x v="4"/>
    <x v="2"/>
    <x v="1"/>
  </r>
  <r>
    <s v="Saving"/>
    <x v="32"/>
    <s v="Family Transfer – Dec"/>
    <n v="0"/>
    <n v="10000"/>
    <n v="73"/>
    <s v="Monthly allowance"/>
    <n v="10000"/>
    <x v="2"/>
    <x v="0"/>
    <x v="0"/>
  </r>
  <r>
    <s v="Credit"/>
    <x v="32"/>
    <s v="Spotify Premium"/>
    <n v="119"/>
    <n v="0"/>
    <n v="308"/>
    <m/>
    <n v="-119"/>
    <x v="12"/>
    <x v="1"/>
    <x v="1"/>
  </r>
  <r>
    <s v="Checking"/>
    <x v="32"/>
    <s v="UPI – Rent"/>
    <n v="6000"/>
    <n v="0"/>
    <n v="-45529"/>
    <m/>
    <n v="-6000"/>
    <x v="5"/>
    <x v="3"/>
    <x v="1"/>
  </r>
  <r>
    <s v="Saving"/>
    <x v="33"/>
    <s v="Hostel Fee – Dec"/>
    <n v="6000"/>
    <n v="0"/>
    <n v="-5927"/>
    <s v="December rent"/>
    <n v="-6000"/>
    <x v="5"/>
    <x v="3"/>
    <x v="1"/>
  </r>
  <r>
    <s v="Checking"/>
    <x v="33"/>
    <s v="IMPS – Mobile Recharge"/>
    <n v="599"/>
    <n v="0"/>
    <n v="-46128"/>
    <m/>
    <n v="-599"/>
    <x v="9"/>
    <x v="1"/>
    <x v="1"/>
  </r>
  <r>
    <s v="Saving"/>
    <x v="34"/>
    <s v="Tuition Fee – Year 1"/>
    <n v="120000"/>
    <n v="0"/>
    <n v="-125927"/>
    <s v="Annual tuition"/>
    <n v="-120000"/>
    <x v="8"/>
    <x v="4"/>
    <x v="1"/>
  </r>
  <r>
    <s v="Credit"/>
    <x v="34"/>
    <s v="Ola – Ride"/>
    <n v="220"/>
    <n v="0"/>
    <n v="528"/>
    <m/>
    <n v="-220"/>
    <x v="15"/>
    <x v="5"/>
    <x v="1"/>
  </r>
  <r>
    <s v="Checking"/>
    <x v="34"/>
    <s v="RTGS – Scholarship"/>
    <n v="0"/>
    <n v="5000"/>
    <n v="-41128"/>
    <m/>
    <n v="5000"/>
    <x v="10"/>
    <x v="0"/>
    <x v="0"/>
  </r>
  <r>
    <s v="Saving"/>
    <x v="35"/>
    <s v="Education Loan Credit"/>
    <n v="0"/>
    <n v="80000"/>
    <n v="-45927"/>
    <s v="SBI edu loan disbursement"/>
    <n v="80000"/>
    <x v="0"/>
    <x v="0"/>
    <x v="0"/>
  </r>
  <r>
    <s v="Saving"/>
    <x v="35"/>
    <s v="Mess Fee – Dec"/>
    <n v="4000"/>
    <n v="0"/>
    <n v="-49927"/>
    <s v="Monthly mess"/>
    <n v="-4000"/>
    <x v="4"/>
    <x v="2"/>
    <x v="1"/>
  </r>
  <r>
    <s v="Saving"/>
    <x v="35"/>
    <s v="Electricity Bill"/>
    <n v="800"/>
    <n v="0"/>
    <n v="-50727"/>
    <m/>
    <n v="-800"/>
    <x v="7"/>
    <x v="3"/>
    <x v="1"/>
  </r>
  <r>
    <s v="Credit"/>
    <x v="35"/>
    <s v="Bill Payment"/>
    <n v="0"/>
    <n v="4000"/>
    <n v="-3472"/>
    <m/>
    <n v="4000"/>
    <x v="0"/>
    <x v="0"/>
    <x v="0"/>
  </r>
  <r>
    <s v="Credit"/>
    <x v="35"/>
    <s v="D-Mart – Grocery"/>
    <n v="780"/>
    <n v="0"/>
    <n v="-2692"/>
    <m/>
    <n v="-780"/>
    <x v="3"/>
    <x v="2"/>
    <x v="1"/>
  </r>
  <r>
    <s v="Checking"/>
    <x v="35"/>
    <s v="UPI – Gym"/>
    <n v="900"/>
    <n v="0"/>
    <n v="-42028"/>
    <s v="Quarterly"/>
    <n v="-900"/>
    <x v="22"/>
    <x v="1"/>
    <x v="1"/>
  </r>
  <r>
    <s v="Checking"/>
    <x v="35"/>
    <s v="NEFT – Family"/>
    <n v="0"/>
    <n v="10000"/>
    <n v="-32028"/>
    <m/>
    <n v="10000"/>
    <x v="2"/>
    <x v="0"/>
    <x v="0"/>
  </r>
  <r>
    <s v="Saving"/>
    <x v="36"/>
    <s v="ATM Withdrawal"/>
    <n v="3000"/>
    <n v="0"/>
    <n v="-53727"/>
    <s v="Festival expenses"/>
    <n v="-3000"/>
    <x v="20"/>
    <x v="8"/>
    <x v="1"/>
  </r>
  <r>
    <s v="Saving"/>
    <x v="37"/>
    <s v="Diwali Gifts &amp; Shopping"/>
    <n v="2500"/>
    <n v="0"/>
    <n v="-56227"/>
    <m/>
    <n v="-2500"/>
    <x v="20"/>
    <x v="8"/>
    <x v="1"/>
  </r>
  <r>
    <s v="Saving"/>
    <x v="38"/>
    <s v="Family Transfer – Jan"/>
    <n v="0"/>
    <n v="10000"/>
    <n v="-46227"/>
    <s v="Monthly allowance"/>
    <n v="10000"/>
    <x v="2"/>
    <x v="0"/>
    <x v="0"/>
  </r>
  <r>
    <s v="Credit"/>
    <x v="38"/>
    <s v="Nykaa – Personal Care"/>
    <n v="650"/>
    <n v="0"/>
    <n v="-2042"/>
    <m/>
    <n v="-650"/>
    <x v="1"/>
    <x v="1"/>
    <x v="1"/>
  </r>
  <r>
    <s v="Checking"/>
    <x v="38"/>
    <s v="UPI – Mess"/>
    <n v="4000"/>
    <n v="0"/>
    <n v="-36028"/>
    <m/>
    <n v="-4000"/>
    <x v="4"/>
    <x v="2"/>
    <x v="1"/>
  </r>
  <r>
    <s v="Saving"/>
    <x v="39"/>
    <s v="Hostel Fee – Jan"/>
    <n v="6000"/>
    <n v="0"/>
    <n v="-52227"/>
    <s v="January rent"/>
    <n v="-6000"/>
    <x v="5"/>
    <x v="3"/>
    <x v="1"/>
  </r>
  <r>
    <s v="Credit"/>
    <x v="39"/>
    <s v="Train Ticket – IRCTC"/>
    <n v="1450"/>
    <n v="0"/>
    <n v="-592"/>
    <m/>
    <n v="-1450"/>
    <x v="13"/>
    <x v="5"/>
    <x v="1"/>
  </r>
  <r>
    <s v="Checking"/>
    <x v="39"/>
    <s v="UPI – Rent"/>
    <n v="6000"/>
    <n v="0"/>
    <n v="-42028"/>
    <m/>
    <n v="-6000"/>
    <x v="5"/>
    <x v="3"/>
    <x v="1"/>
  </r>
  <r>
    <s v="Saving"/>
    <x v="40"/>
    <s v="Mess Fee – Jan"/>
    <n v="4000"/>
    <n v="0"/>
    <n v="-56227"/>
    <s v="Monthly mess"/>
    <n v="-4000"/>
    <x v="4"/>
    <x v="2"/>
    <x v="1"/>
  </r>
  <r>
    <s v="Checking"/>
    <x v="40"/>
    <s v="UPI – Freelance Received"/>
    <n v="0"/>
    <n v="2000"/>
    <n v="-40028"/>
    <m/>
    <n v="2000"/>
    <x v="21"/>
    <x v="9"/>
    <x v="0"/>
  </r>
  <r>
    <s v="Saving"/>
    <x v="41"/>
    <s v="Scholarship Credit Q3"/>
    <n v="0"/>
    <n v="5000"/>
    <n v="-51227"/>
    <s v="Merit Q3"/>
    <n v="5000"/>
    <x v="10"/>
    <x v="0"/>
    <x v="0"/>
  </r>
  <r>
    <s v="Saving"/>
    <x v="42"/>
    <s v="LinkedIn Premium"/>
    <n v="799"/>
    <n v="0"/>
    <n v="-52026"/>
    <s v="Job search"/>
    <n v="-799"/>
    <x v="23"/>
    <x v="4"/>
    <x v="1"/>
  </r>
  <r>
    <s v="Checking"/>
    <x v="42"/>
    <s v="UPI – Train Ticket"/>
    <n v="1450"/>
    <n v="0"/>
    <n v="-41478"/>
    <m/>
    <n v="-1450"/>
    <x v="13"/>
    <x v="5"/>
    <x v="1"/>
  </r>
  <r>
    <s v="Saving"/>
    <x v="43"/>
    <s v="Mock Test Series"/>
    <n v="1500"/>
    <n v="0"/>
    <n v="-53526"/>
    <s v="CAT/MBA prep"/>
    <n v="-1500"/>
    <x v="24"/>
    <x v="4"/>
    <x v="1"/>
  </r>
  <r>
    <s v="Saving"/>
    <x v="44"/>
    <s v="Family Transfer – Feb"/>
    <n v="0"/>
    <n v="10000"/>
    <n v="-43526"/>
    <s v="Monthly allowance"/>
    <n v="10000"/>
    <x v="2"/>
    <x v="0"/>
    <x v="0"/>
  </r>
  <r>
    <s v="Saving"/>
    <x v="45"/>
    <s v="Hostel Fee – Feb"/>
    <n v="6000"/>
    <n v="0"/>
    <n v="-49526"/>
    <s v="February rent"/>
    <n v="-6000"/>
    <x v="5"/>
    <x v="3"/>
    <x v="1"/>
  </r>
  <r>
    <s v="Saving"/>
    <x v="46"/>
    <s v="Mess Fee – Feb"/>
    <n v="4000"/>
    <n v="0"/>
    <n v="-53526"/>
    <s v="Monthly mess"/>
    <n v="-4000"/>
    <x v="4"/>
    <x v="2"/>
    <x v="1"/>
  </r>
  <r>
    <s v="Checking"/>
    <x v="46"/>
    <s v="NEFT – Family"/>
    <n v="0"/>
    <n v="10000"/>
    <n v="-31478"/>
    <m/>
    <n v="10000"/>
    <x v="2"/>
    <x v="0"/>
    <x v="0"/>
  </r>
  <r>
    <s v="Saving"/>
    <x v="47"/>
    <s v="Gym Membership"/>
    <n v="900"/>
    <n v="0"/>
    <n v="-54426"/>
    <s v="Quarterly"/>
    <n v="-900"/>
    <x v="22"/>
    <x v="1"/>
    <x v="1"/>
  </r>
  <r>
    <s v="Saving"/>
    <x v="47"/>
    <s v="Eating Out – Friends"/>
    <n v="1200"/>
    <n v="0"/>
    <n v="-55626"/>
    <m/>
    <n v="-1200"/>
    <x v="3"/>
    <x v="2"/>
    <x v="1"/>
  </r>
  <r>
    <s v="Checking"/>
    <x v="47"/>
    <s v="UPI – Mess"/>
    <n v="4000"/>
    <n v="0"/>
    <n v="-35478"/>
    <m/>
    <n v="-4000"/>
    <x v="4"/>
    <x v="2"/>
    <x v="1"/>
  </r>
  <r>
    <s v="Saving"/>
    <x v="48"/>
    <s v="Family Transfer – Mar"/>
    <n v="0"/>
    <n v="10000"/>
    <n v="-45626"/>
    <s v="Monthly allowance"/>
    <n v="10000"/>
    <x v="2"/>
    <x v="0"/>
    <x v="0"/>
  </r>
  <r>
    <s v="Credit"/>
    <x v="48"/>
    <s v="Bill Payment"/>
    <n v="0"/>
    <n v="5000"/>
    <n v="-5592"/>
    <m/>
    <n v="5000"/>
    <x v="0"/>
    <x v="0"/>
    <x v="0"/>
  </r>
  <r>
    <s v="Checking"/>
    <x v="48"/>
    <s v="UPI – Rent"/>
    <n v="6000"/>
    <n v="0"/>
    <n v="-41478"/>
    <m/>
    <n v="-6000"/>
    <x v="5"/>
    <x v="3"/>
    <x v="1"/>
  </r>
  <r>
    <s v="Saving"/>
    <x v="49"/>
    <s v="Hostel Fee – Mar"/>
    <n v="6000"/>
    <n v="0"/>
    <n v="-51626"/>
    <s v="March rent"/>
    <n v="-6000"/>
    <x v="5"/>
    <x v="3"/>
    <x v="1"/>
  </r>
  <r>
    <s v="Saving"/>
    <x v="49"/>
    <s v="Mess Fee – Mar"/>
    <n v="4000"/>
    <n v="0"/>
    <n v="-55626"/>
    <s v="Monthly mess"/>
    <n v="-4000"/>
    <x v="4"/>
    <x v="2"/>
    <x v="1"/>
  </r>
  <r>
    <s v="Credit"/>
    <x v="49"/>
    <s v="Exam Prep Material"/>
    <n v="999"/>
    <n v="0"/>
    <n v="-4593"/>
    <m/>
    <n v="-999"/>
    <x v="6"/>
    <x v="4"/>
    <x v="1"/>
  </r>
  <r>
    <s v="Credit"/>
    <x v="49"/>
    <s v="Meesho – Clothing"/>
    <n v="799"/>
    <n v="0"/>
    <n v="-3794"/>
    <m/>
    <n v="-799"/>
    <x v="19"/>
    <x v="1"/>
    <x v="1"/>
  </r>
  <r>
    <s v="Checking"/>
    <x v="49"/>
    <s v="Cheque – Tuition Fee Y2"/>
    <n v="120000"/>
    <n v="0"/>
    <n v="-161478"/>
    <s v="Year 2 tuition"/>
    <n v="-120000"/>
    <x v="8"/>
    <x v="4"/>
    <x v="1"/>
  </r>
  <r>
    <s v="Checking"/>
    <x v="49"/>
    <s v="NEFT – Loan Y2"/>
    <n v="0"/>
    <n v="80000"/>
    <n v="-81478"/>
    <s v="Edu loan Y2"/>
    <n v="80000"/>
    <x v="0"/>
    <x v="0"/>
    <x v="0"/>
  </r>
  <r>
    <s v="Saving"/>
    <x v="50"/>
    <s v="Internship Stipend"/>
    <n v="0"/>
    <n v="15000"/>
    <n v="-40626"/>
    <s v="Summer intern – Y2"/>
    <n v="15000"/>
    <x v="21"/>
    <x v="9"/>
    <x v="0"/>
  </r>
  <r>
    <s v="Credit"/>
    <x v="50"/>
    <s v="Swiggy"/>
    <n v="549"/>
    <n v="0"/>
    <n v="-3245"/>
    <m/>
    <n v="-549"/>
    <x v="3"/>
    <x v="2"/>
    <x v="1"/>
  </r>
  <r>
    <s v="Checking"/>
    <x v="50"/>
    <s v="RTGS – Internship Stipend"/>
    <n v="0"/>
    <n v="15000"/>
    <n v="-66478"/>
    <m/>
    <n v="15000"/>
    <x v="21"/>
    <x v="9"/>
    <x v="0"/>
  </r>
  <r>
    <s v="Saving"/>
    <x v="51"/>
    <s v="Travel – Internship City"/>
    <n v="2500"/>
    <n v="0"/>
    <n v="-43126"/>
    <s v="Bus/train"/>
    <n v="-2500"/>
    <x v="13"/>
    <x v="5"/>
    <x v="1"/>
  </r>
  <r>
    <s v="Saving"/>
    <x v="52"/>
    <s v="Scholarship Credit Q4"/>
    <n v="0"/>
    <n v="5000"/>
    <n v="-38126"/>
    <s v="Merit Q4"/>
    <n v="5000"/>
    <x v="10"/>
    <x v="0"/>
    <x v="0"/>
  </r>
  <r>
    <s v="Checking"/>
    <x v="52"/>
    <s v="UPI – Rent (Intern city)"/>
    <n v="5000"/>
    <n v="0"/>
    <n v="-71478"/>
    <m/>
    <n v="-5000"/>
    <x v="13"/>
    <x v="5"/>
    <x v="1"/>
  </r>
  <r>
    <s v="Saving"/>
    <x v="53"/>
    <s v="Rent – Internship"/>
    <n v="5000"/>
    <n v="0"/>
    <n v="-43126"/>
    <s v="PG accommodation"/>
    <n v="-5000"/>
    <x v="13"/>
    <x v="5"/>
    <x v="1"/>
  </r>
  <r>
    <s v="Credit"/>
    <x v="53"/>
    <s v="Pharmacy – Medicine"/>
    <n v="320"/>
    <n v="0"/>
    <n v="-2925"/>
    <m/>
    <n v="-320"/>
    <x v="17"/>
    <x v="6"/>
    <x v="1"/>
  </r>
  <r>
    <s v="Checking"/>
    <x v="53"/>
    <s v="UPI – Mess/Food"/>
    <n v="3500"/>
    <n v="0"/>
    <n v="-74978"/>
    <m/>
    <n v="-3500"/>
    <x v="4"/>
    <x v="2"/>
    <x v="1"/>
  </r>
  <r>
    <s v="Saving"/>
    <x v="54"/>
    <s v="Mess / Food – Intern"/>
    <n v="3500"/>
    <n v="0"/>
    <n v="-46626"/>
    <m/>
    <n v="-3500"/>
    <x v="4"/>
    <x v="2"/>
    <x v="1"/>
  </r>
  <r>
    <s v="Checking"/>
    <x v="54"/>
    <s v="RTGS – Stipend M2"/>
    <n v="0"/>
    <n v="15000"/>
    <n v="-59978"/>
    <m/>
    <n v="15000"/>
    <x v="21"/>
    <x v="9"/>
    <x v="0"/>
  </r>
  <r>
    <s v="Saving"/>
    <x v="55"/>
    <s v="Internship Stipend"/>
    <n v="0"/>
    <n v="15000"/>
    <n v="-31626"/>
    <s v="Month 2 stipend"/>
    <n v="15000"/>
    <x v="21"/>
    <x v="9"/>
    <x v="0"/>
  </r>
  <r>
    <s v="Saving"/>
    <x v="55"/>
    <s v="Tuition Fee – Year 2"/>
    <n v="120000"/>
    <n v="0"/>
    <n v="-151626"/>
    <s v="Annual tuition Y2"/>
    <n v="-120000"/>
    <x v="8"/>
    <x v="4"/>
    <x v="1"/>
  </r>
  <r>
    <s v="Credit"/>
    <x v="55"/>
    <s v="Bill Payment – Full"/>
    <n v="0"/>
    <n v="8000"/>
    <n v="-10925"/>
    <s v="Full payment"/>
    <n v="8000"/>
    <x v="0"/>
    <x v="0"/>
    <x v="0"/>
  </r>
  <r>
    <s v="Credit"/>
    <x v="55"/>
    <s v="Laptop Accessories"/>
    <n v="1299"/>
    <n v="0"/>
    <n v="-9626"/>
    <s v="Mouse, pad"/>
    <n v="-1299"/>
    <x v="12"/>
    <x v="1"/>
    <x v="1"/>
  </r>
  <r>
    <s v="Checking"/>
    <x v="55"/>
    <s v="NEFT – Family"/>
    <n v="0"/>
    <n v="10000"/>
    <n v="-49978"/>
    <m/>
    <n v="10000"/>
    <x v="2"/>
    <x v="0"/>
    <x v="0"/>
  </r>
  <r>
    <s v="Checking"/>
    <x v="55"/>
    <s v="UPI – Mess"/>
    <n v="4000"/>
    <n v="0"/>
    <n v="-53978"/>
    <m/>
    <n v="-4000"/>
    <x v="4"/>
    <x v="2"/>
    <x v="1"/>
  </r>
  <r>
    <s v="Saving"/>
    <x v="56"/>
    <s v="Education Loan Y2"/>
    <n v="0"/>
    <n v="80000"/>
    <n v="-71626"/>
    <s v="Loan Y2 disbursement"/>
    <n v="80000"/>
    <x v="0"/>
    <x v="0"/>
    <x v="0"/>
  </r>
  <r>
    <s v="Saving"/>
    <x v="57"/>
    <s v="Hostel Fee – Y2 Start"/>
    <n v="6000"/>
    <n v="0"/>
    <n v="-77626"/>
    <m/>
    <n v="-6000"/>
    <x v="5"/>
    <x v="3"/>
    <x v="1"/>
  </r>
  <r>
    <s v="Credit"/>
    <x v="57"/>
    <s v="Zomato"/>
    <n v="399"/>
    <n v="0"/>
    <n v="-9227"/>
    <m/>
    <n v="-399"/>
    <x v="3"/>
    <x v="2"/>
    <x v="1"/>
  </r>
  <r>
    <s v="Checking"/>
    <x v="57"/>
    <s v="UPI – Rent"/>
    <n v="6000"/>
    <n v="0"/>
    <n v="-59978"/>
    <m/>
    <n v="-6000"/>
    <x v="5"/>
    <x v="3"/>
    <x v="1"/>
  </r>
  <r>
    <s v="Saving"/>
    <x v="58"/>
    <s v="Mess Fee"/>
    <n v="4000"/>
    <n v="0"/>
    <n v="-81626"/>
    <m/>
    <n v="-4000"/>
    <x v="4"/>
    <x v="2"/>
    <x v="1"/>
  </r>
  <r>
    <s v="Saving"/>
    <x v="59"/>
    <s v="Placement Coaching"/>
    <n v="5000"/>
    <n v="0"/>
    <n v="-86626"/>
    <s v="Interview prep"/>
    <n v="-5000"/>
    <x v="24"/>
    <x v="4"/>
    <x v="1"/>
  </r>
  <r>
    <s v="Credit"/>
    <x v="59"/>
    <s v="Rapido – Bike Ride"/>
    <n v="80"/>
    <n v="0"/>
    <n v="-9147"/>
    <m/>
    <n v="-80"/>
    <x v="15"/>
    <x v="5"/>
    <x v="1"/>
  </r>
  <r>
    <s v="Checking"/>
    <x v="59"/>
    <s v="UPI – Placement Coach"/>
    <n v="5000"/>
    <n v="0"/>
    <n v="-64978"/>
    <m/>
    <n v="-5000"/>
    <x v="24"/>
    <x v="4"/>
    <x v="1"/>
  </r>
  <r>
    <s v="Saving"/>
    <x v="60"/>
    <s v="Family Transfer"/>
    <n v="0"/>
    <n v="10000"/>
    <n v="-76626"/>
    <m/>
    <n v="10000"/>
    <x v="2"/>
    <x v="0"/>
    <x v="0"/>
  </r>
  <r>
    <s v="Credit"/>
    <x v="60"/>
    <s v="Interest Charged"/>
    <n v="450"/>
    <n v="0"/>
    <n v="-8697"/>
    <s v="Late fee"/>
    <n v="-450"/>
    <x v="16"/>
    <x v="4"/>
    <x v="1"/>
  </r>
  <r>
    <s v="Checking"/>
    <x v="60"/>
    <s v="RTGS – Scholarship Q4"/>
    <n v="0"/>
    <n v="5000"/>
    <n v="-59978"/>
    <m/>
    <n v="5000"/>
    <x v="10"/>
    <x v="0"/>
    <x v="0"/>
  </r>
  <r>
    <s v="Saving"/>
    <x v="61"/>
    <s v="Hostel Fee"/>
    <n v="6000"/>
    <n v="0"/>
    <n v="-82626"/>
    <m/>
    <n v="-6000"/>
    <x v="5"/>
    <x v="3"/>
    <x v="1"/>
  </r>
  <r>
    <s v="Credit"/>
    <x v="61"/>
    <s v="Bill Payment"/>
    <n v="0"/>
    <n v="5000"/>
    <n v="-13697"/>
    <m/>
    <n v="5000"/>
    <x v="0"/>
    <x v="0"/>
    <x v="0"/>
  </r>
  <r>
    <s v="Checking"/>
    <x v="61"/>
    <s v="UPI – Personal Grooming"/>
    <n v="500"/>
    <n v="0"/>
    <n v="-60478"/>
    <m/>
    <n v="-500"/>
    <x v="1"/>
    <x v="1"/>
    <x v="1"/>
  </r>
  <r>
    <s v="Saving"/>
    <x v="62"/>
    <s v="Mess Fee"/>
    <n v="4000"/>
    <n v="0"/>
    <n v="-86626"/>
    <m/>
    <n v="-4000"/>
    <x v="4"/>
    <x v="2"/>
    <x v="1"/>
  </r>
  <r>
    <s v="Checking"/>
    <x v="62"/>
    <s v="NEFT – Family"/>
    <n v="0"/>
    <n v="10000"/>
    <n v="-50478"/>
    <m/>
    <n v="10000"/>
    <x v="2"/>
    <x v="0"/>
    <x v="0"/>
  </r>
  <r>
    <s v="Saving"/>
    <x v="63"/>
    <s v="OTT Subscription – Bundle"/>
    <n v="399"/>
    <n v="0"/>
    <n v="-87025"/>
    <s v="Netflix+Spotify"/>
    <n v="-399"/>
    <x v="12"/>
    <x v="1"/>
    <x v="1"/>
  </r>
  <r>
    <s v="Saving"/>
    <x v="64"/>
    <s v="Freelance – Content"/>
    <n v="0"/>
    <n v="3000"/>
    <n v="-84025"/>
    <m/>
    <n v="3000"/>
    <x v="21"/>
    <x v="9"/>
    <x v="0"/>
  </r>
  <r>
    <s v="Saving"/>
    <x v="65"/>
    <s v="ATM Withdrawal"/>
    <n v="2000"/>
    <n v="0"/>
    <n v="-86025"/>
    <m/>
    <n v="-2000"/>
    <x v="18"/>
    <x v="7"/>
    <x v="1"/>
  </r>
  <r>
    <s v="Saving"/>
    <x v="66"/>
    <s v="Medical Checkup"/>
    <n v="600"/>
    <n v="0"/>
    <n v="-86625"/>
    <m/>
    <n v="-600"/>
    <x v="17"/>
    <x v="6"/>
    <x v="1"/>
  </r>
  <r>
    <s v="Credit"/>
    <x v="66"/>
    <s v="Amazon – Case Studies"/>
    <n v="799"/>
    <n v="0"/>
    <n v="-12898"/>
    <m/>
    <n v="-799"/>
    <x v="6"/>
    <x v="4"/>
    <x v="1"/>
  </r>
  <r>
    <s v="Checking"/>
    <x v="66"/>
    <s v="UPI – Mess"/>
    <n v="4000"/>
    <n v="0"/>
    <n v="-54478"/>
    <m/>
    <n v="-4000"/>
    <x v="4"/>
    <x v="2"/>
    <x v="1"/>
  </r>
  <r>
    <s v="Saving"/>
    <x v="67"/>
    <s v="Family Transfer"/>
    <n v="0"/>
    <n v="10000"/>
    <n v="-76625"/>
    <m/>
    <n v="10000"/>
    <x v="2"/>
    <x v="0"/>
    <x v="0"/>
  </r>
  <r>
    <s v="Credit"/>
    <x v="67"/>
    <s v="Domino's – Pizza"/>
    <n v="599"/>
    <n v="0"/>
    <n v="-12299"/>
    <s v="Group order"/>
    <n v="-599"/>
    <x v="3"/>
    <x v="2"/>
    <x v="1"/>
  </r>
  <r>
    <s v="Checking"/>
    <x v="67"/>
    <s v="UPI – Rent"/>
    <n v="6000"/>
    <n v="0"/>
    <n v="-60478"/>
    <m/>
    <n v="-6000"/>
    <x v="5"/>
    <x v="3"/>
    <x v="1"/>
  </r>
  <r>
    <s v="Saving"/>
    <x v="68"/>
    <s v="Hostel Fee"/>
    <n v="6000"/>
    <n v="0"/>
    <n v="-82625"/>
    <m/>
    <n v="-6000"/>
    <x v="5"/>
    <x v="3"/>
    <x v="1"/>
  </r>
  <r>
    <s v="Saving"/>
    <x v="69"/>
    <s v="Placement Resume Print"/>
    <n v="200"/>
    <n v="0"/>
    <n v="-82825"/>
    <m/>
    <n v="-200"/>
    <x v="24"/>
    <x v="4"/>
    <x v="1"/>
  </r>
  <r>
    <s v="Credit"/>
    <x v="69"/>
    <s v="Bill Payment"/>
    <n v="0"/>
    <n v="4000"/>
    <n v="-16299"/>
    <m/>
    <n v="4000"/>
    <x v="0"/>
    <x v="0"/>
    <x v="0"/>
  </r>
  <r>
    <s v="Checking"/>
    <x v="69"/>
    <s v="UPI – Freelance"/>
    <n v="0"/>
    <n v="3000"/>
    <n v="-57478"/>
    <m/>
    <n v="3000"/>
    <x v="21"/>
    <x v="9"/>
    <x v="0"/>
  </r>
  <r>
    <s v="Saving"/>
    <x v="70"/>
    <s v="Mess Fee"/>
    <n v="4000"/>
    <n v="0"/>
    <n v="-86825"/>
    <m/>
    <n v="-4000"/>
    <x v="4"/>
    <x v="2"/>
    <x v="1"/>
  </r>
  <r>
    <s v="Credit"/>
    <x v="70"/>
    <s v="Fuel – BPCL"/>
    <n v="600"/>
    <n v="0"/>
    <n v="-15699"/>
    <m/>
    <n v="-600"/>
    <x v="15"/>
    <x v="5"/>
    <x v="1"/>
  </r>
  <r>
    <s v="Checking"/>
    <x v="70"/>
    <s v="Bank Charges"/>
    <n v="100"/>
    <n v="0"/>
    <n v="-57578"/>
    <s v="SMS alert fee"/>
    <n v="-100"/>
    <x v="9"/>
    <x v="1"/>
    <x v="1"/>
  </r>
  <r>
    <s v="Saving"/>
    <x v="71"/>
    <s v="Bank Interest Credit"/>
    <n v="0"/>
    <n v="420"/>
    <n v="-86405"/>
    <s v="Quarterly interest"/>
    <n v="420"/>
    <x v="0"/>
    <x v="0"/>
    <x v="0"/>
  </r>
  <r>
    <s v="Credit"/>
    <x v="71"/>
    <s v="Bill Payment – Full"/>
    <n v="0"/>
    <n v="7000"/>
    <n v="-22699"/>
    <s v="Full clearance"/>
    <n v="7000"/>
    <x v="0"/>
    <x v="0"/>
    <x v="0"/>
  </r>
  <r>
    <s v="Checking"/>
    <x v="71"/>
    <s v="Interest Credit"/>
    <n v="0"/>
    <n v="180"/>
    <n v="-57398"/>
    <s v="Quarterly int."/>
    <n v="180"/>
    <x v="0"/>
    <x v="0"/>
    <x v="0"/>
  </r>
  <r>
    <s v="Saving"/>
    <x v="72"/>
    <s v="Closing Balance"/>
    <n v="0"/>
    <n v="0"/>
    <n v="-86405"/>
    <s v="End of period"/>
    <n v="0"/>
    <x v="18"/>
    <x v="7"/>
    <x v="1"/>
  </r>
  <r>
    <s v="Savings A/C"/>
    <x v="73"/>
    <s v="Salary Credit – Jul 2025 – Artha Finance Ltd"/>
    <n v="0"/>
    <n v="50000"/>
    <n v="50000"/>
    <s v="Monthly salary"/>
    <n v="50000"/>
    <x v="25"/>
    <x v="10"/>
    <x v="0"/>
  </r>
  <r>
    <s v="Savings A/C"/>
    <x v="73"/>
    <s v="SIP – Axis Bluechip Fund"/>
    <n v="5000"/>
    <n v="0"/>
    <n v="45000"/>
    <s v="Equity SIP auto-debit"/>
    <n v="-5000"/>
    <x v="26"/>
    <x v="11"/>
    <x v="1"/>
  </r>
  <r>
    <s v="Savings A/C"/>
    <x v="74"/>
    <s v="Rent – Jul 2025"/>
    <n v="12000"/>
    <n v="0"/>
    <n v="33000"/>
    <s v="2BHK shared flat"/>
    <n v="-12000"/>
    <x v="27"/>
    <x v="3"/>
    <x v="1"/>
  </r>
  <r>
    <s v="Savings A/C"/>
    <x v="75"/>
    <s v="Electricity Bill – UPPCL"/>
    <n v="900"/>
    <n v="0"/>
    <n v="32100"/>
    <s v="Monthly electricity"/>
    <n v="-900"/>
    <x v="7"/>
    <x v="3"/>
    <x v="1"/>
  </r>
  <r>
    <s v="Savings A/C"/>
    <x v="76"/>
    <s v="Grocery – Reliance Fresh"/>
    <n v="1800"/>
    <n v="0"/>
    <n v="30300"/>
    <s v="Monthly grocery"/>
    <n v="-1800"/>
    <x v="3"/>
    <x v="2"/>
    <x v="1"/>
  </r>
  <r>
    <s v="Savings A/C"/>
    <x v="77"/>
    <s v="Transfer to RD Account"/>
    <n v="3000"/>
    <n v="0"/>
    <n v="27300"/>
    <s v="Monthly RD instalment"/>
    <n v="-3000"/>
    <x v="26"/>
    <x v="11"/>
    <x v="1"/>
  </r>
  <r>
    <s v="Savings A/C"/>
    <x v="78"/>
    <s v="Swiggy – Food Orders"/>
    <n v="950"/>
    <n v="0"/>
    <n v="26350"/>
    <s v="Weekly food delivery"/>
    <n v="-950"/>
    <x v="3"/>
    <x v="2"/>
    <x v="1"/>
  </r>
  <r>
    <s v="Savings A/C"/>
    <x v="79"/>
    <s v="Mobile Bill – Airtel Postpaid"/>
    <n v="699"/>
    <n v="0"/>
    <n v="25651"/>
    <s v="Unlimited 5G plan"/>
    <n v="-699"/>
    <x v="9"/>
    <x v="1"/>
    <x v="1"/>
  </r>
  <r>
    <s v="Savings A/C"/>
    <x v="80"/>
    <s v="Metro Card Recharge"/>
    <n v="500"/>
    <n v="0"/>
    <n v="25151"/>
    <s v="Monthly commute"/>
    <n v="-500"/>
    <x v="15"/>
    <x v="5"/>
    <x v="1"/>
  </r>
  <r>
    <s v="Savings A/C"/>
    <x v="81"/>
    <s v="OTT Bundle – Netflix+Prime"/>
    <n v="498"/>
    <n v="0"/>
    <n v="24653"/>
    <s v="Monthly subs"/>
    <n v="-498"/>
    <x v="12"/>
    <x v="1"/>
    <x v="1"/>
  </r>
  <r>
    <s v="Savings A/C"/>
    <x v="82"/>
    <s v="Insurance Premium – LIC"/>
    <n v="2500"/>
    <n v="0"/>
    <n v="22153"/>
    <s v="Term plan EMI"/>
    <n v="-2500"/>
    <x v="28"/>
    <x v="12"/>
    <x v="1"/>
  </r>
  <r>
    <s v="Savings A/C"/>
    <x v="83"/>
    <s v="Amazon – Office Wear"/>
    <n v="1999"/>
    <n v="0"/>
    <n v="20154"/>
    <s v="Formal shirts"/>
    <n v="-1999"/>
    <x v="19"/>
    <x v="1"/>
    <x v="1"/>
  </r>
  <r>
    <s v="Savings A/C"/>
    <x v="84"/>
    <s v="Zomato – Lunch"/>
    <n v="550"/>
    <n v="0"/>
    <n v="19604"/>
    <s v="Office lunch outing"/>
    <n v="-550"/>
    <x v="4"/>
    <x v="2"/>
    <x v="1"/>
  </r>
  <r>
    <s v="Savings A/C"/>
    <x v="85"/>
    <s v="Gym Membership"/>
    <n v="1200"/>
    <n v="0"/>
    <n v="18404"/>
    <s v="Monthly fitness"/>
    <n v="-1200"/>
    <x v="22"/>
    <x v="1"/>
    <x v="1"/>
  </r>
  <r>
    <s v="Savings A/C"/>
    <x v="86"/>
    <s v="Parents – Home Transfer"/>
    <n v="5000"/>
    <n v="0"/>
    <n v="13404"/>
    <s v="Family support"/>
    <n v="-5000"/>
    <x v="2"/>
    <x v="0"/>
    <x v="0"/>
  </r>
  <r>
    <s v="Savings A/C"/>
    <x v="87"/>
    <s v="Edu Loan EMI"/>
    <n v="3500"/>
    <n v="0"/>
    <n v="9904"/>
    <s v="MBA loan repayment"/>
    <n v="-3500"/>
    <x v="28"/>
    <x v="12"/>
    <x v="1"/>
  </r>
  <r>
    <s v="Savings A/C"/>
    <x v="88"/>
    <s v="Interest Credit – Savings"/>
    <n v="0"/>
    <n v="180"/>
    <n v="10084"/>
    <s v="Quarterly interest"/>
    <n v="180"/>
    <x v="29"/>
    <x v="13"/>
    <x v="0"/>
  </r>
  <r>
    <s v="Savings A/C"/>
    <x v="89"/>
    <s v="Salary Credit – Aug 2025"/>
    <n v="0"/>
    <n v="50000"/>
    <n v="60084"/>
    <s v="Monthly salary"/>
    <n v="50000"/>
    <x v="25"/>
    <x v="10"/>
    <x v="0"/>
  </r>
  <r>
    <s v="Savings A/C"/>
    <x v="89"/>
    <s v="SIP – Axis Bluechip Fund"/>
    <n v="5000"/>
    <n v="0"/>
    <n v="55084"/>
    <s v="Equity SIP"/>
    <n v="-5000"/>
    <x v="26"/>
    <x v="11"/>
    <x v="1"/>
  </r>
  <r>
    <s v="Savings A/C"/>
    <x v="90"/>
    <s v="Rent – Aug 2025"/>
    <n v="12000"/>
    <n v="0"/>
    <n v="43084"/>
    <s v="Flat rent"/>
    <n v="-12000"/>
    <x v="27"/>
    <x v="3"/>
    <x v="1"/>
  </r>
  <r>
    <s v="Savings A/C"/>
    <x v="91"/>
    <s v="Electricity Bill"/>
    <n v="880"/>
    <n v="0"/>
    <n v="42204"/>
    <m/>
    <n v="-880"/>
    <x v="7"/>
    <x v="3"/>
    <x v="1"/>
  </r>
  <r>
    <s v="Savings A/C"/>
    <x v="92"/>
    <s v="Grocery – DMart"/>
    <n v="1650"/>
    <n v="0"/>
    <n v="40554"/>
    <s v="Monthly grocery"/>
    <n v="-1650"/>
    <x v="3"/>
    <x v="2"/>
    <x v="1"/>
  </r>
  <r>
    <s v="Savings A/C"/>
    <x v="93"/>
    <s v="Transfer to RD Account"/>
    <n v="3000"/>
    <n v="0"/>
    <n v="37554"/>
    <s v="Monthly RD"/>
    <n v="-3000"/>
    <x v="26"/>
    <x v="11"/>
    <x v="1"/>
  </r>
  <r>
    <s v="Savings A/C"/>
    <x v="94"/>
    <s v="Swiggy – Food Orders"/>
    <n v="1100"/>
    <n v="0"/>
    <n v="36454"/>
    <m/>
    <n v="-1100"/>
    <x v="3"/>
    <x v="2"/>
    <x v="1"/>
  </r>
  <r>
    <s v="Savings A/C"/>
    <x v="95"/>
    <s v="Mobile Bill"/>
    <n v="699"/>
    <n v="0"/>
    <n v="35755"/>
    <s v="Airtel postpaid"/>
    <n v="-699"/>
    <x v="9"/>
    <x v="1"/>
    <x v="1"/>
  </r>
  <r>
    <s v="Savings A/C"/>
    <x v="96"/>
    <s v="Train Ticket – Home Visit"/>
    <n v="1250"/>
    <n v="0"/>
    <n v="34505"/>
    <s v="Prayagraj visit"/>
    <n v="-1250"/>
    <x v="13"/>
    <x v="5"/>
    <x v="1"/>
  </r>
  <r>
    <s v="Savings A/C"/>
    <x v="97"/>
    <s v="Medical Checkup – Diagnostics"/>
    <n v="800"/>
    <n v="0"/>
    <n v="33705"/>
    <s v="Annual health test"/>
    <n v="-800"/>
    <x v="17"/>
    <x v="6"/>
    <x v="1"/>
  </r>
  <r>
    <s v="Savings A/C"/>
    <x v="98"/>
    <s v="Amazon – Home Essentials"/>
    <n v="1200"/>
    <n v="0"/>
    <n v="32505"/>
    <s v="Kitchen items"/>
    <n v="-1200"/>
    <x v="18"/>
    <x v="7"/>
    <x v="1"/>
  </r>
  <r>
    <s v="Savings A/C"/>
    <x v="99"/>
    <s v="Parents – Home Transfer"/>
    <n v="5000"/>
    <n v="0"/>
    <n v="27505"/>
    <s v="Family support"/>
    <n v="-5000"/>
    <x v="2"/>
    <x v="0"/>
    <x v="0"/>
  </r>
  <r>
    <s v="Savings A/C"/>
    <x v="100"/>
    <s v="Edu Loan EMI"/>
    <n v="3500"/>
    <n v="0"/>
    <n v="24005"/>
    <s v="MBA loan"/>
    <n v="-3500"/>
    <x v="28"/>
    <x v="12"/>
    <x v="1"/>
  </r>
  <r>
    <s v="Savings A/C"/>
    <x v="101"/>
    <s v="Salary Credit – Sep 2025"/>
    <n v="0"/>
    <n v="50000"/>
    <n v="74005"/>
    <s v="Monthly salary"/>
    <n v="50000"/>
    <x v="25"/>
    <x v="10"/>
    <x v="0"/>
  </r>
  <r>
    <s v="Savings A/C"/>
    <x v="101"/>
    <s v="SIP – Axis Bluechip Fund"/>
    <n v="5000"/>
    <n v="0"/>
    <n v="69005"/>
    <s v="Equity SIP"/>
    <n v="-5000"/>
    <x v="26"/>
    <x v="11"/>
    <x v="1"/>
  </r>
  <r>
    <s v="Savings A/C"/>
    <x v="102"/>
    <s v="Rent – Sep 2025"/>
    <n v="12000"/>
    <n v="0"/>
    <n v="57005"/>
    <m/>
    <n v="-12000"/>
    <x v="27"/>
    <x v="3"/>
    <x v="1"/>
  </r>
  <r>
    <s v="Savings A/C"/>
    <x v="103"/>
    <s v="Electricity Bill"/>
    <n v="920"/>
    <n v="0"/>
    <n v="56085"/>
    <m/>
    <n v="-920"/>
    <x v="7"/>
    <x v="3"/>
    <x v="1"/>
  </r>
  <r>
    <s v="Savings A/C"/>
    <x v="104"/>
    <s v="Grocery"/>
    <n v="1750"/>
    <n v="0"/>
    <n v="54335"/>
    <m/>
    <n v="-1750"/>
    <x v="3"/>
    <x v="2"/>
    <x v="1"/>
  </r>
  <r>
    <s v="Savings A/C"/>
    <x v="104"/>
    <s v="Transfer to RD"/>
    <n v="3000"/>
    <n v="0"/>
    <n v="51335"/>
    <s v="Monthly RD"/>
    <n v="-3000"/>
    <x v="26"/>
    <x v="11"/>
    <x v="1"/>
  </r>
  <r>
    <s v="Savings A/C"/>
    <x v="105"/>
    <s v="Swiggy"/>
    <n v="800"/>
    <n v="0"/>
    <n v="50535"/>
    <m/>
    <n v="-800"/>
    <x v="3"/>
    <x v="2"/>
    <x v="1"/>
  </r>
  <r>
    <s v="Savings A/C"/>
    <x v="106"/>
    <s v="Mobile Bill"/>
    <n v="699"/>
    <n v="0"/>
    <n v="49836"/>
    <m/>
    <n v="-699"/>
    <x v="9"/>
    <x v="1"/>
    <x v="1"/>
  </r>
  <r>
    <s v="Savings A/C"/>
    <x v="107"/>
    <s v="Freelance – Financial Model"/>
    <n v="0"/>
    <n v="8000"/>
    <n v="57836"/>
    <s v="Side consulting gig"/>
    <n v="8000"/>
    <x v="21"/>
    <x v="9"/>
    <x v="0"/>
  </r>
  <r>
    <s v="Savings A/C"/>
    <x v="108"/>
    <s v="Pharmacy"/>
    <n v="350"/>
    <n v="0"/>
    <n v="57486"/>
    <s v="Medicines"/>
    <n v="-350"/>
    <x v="17"/>
    <x v="6"/>
    <x v="1"/>
  </r>
  <r>
    <s v="Savings A/C"/>
    <x v="109"/>
    <s v="Dinner – Restaurant"/>
    <n v="900"/>
    <n v="0"/>
    <n v="56586"/>
    <s v="Team outing"/>
    <n v="-900"/>
    <x v="4"/>
    <x v="2"/>
    <x v="1"/>
  </r>
  <r>
    <s v="Savings A/C"/>
    <x v="110"/>
    <s v="Gym Membership"/>
    <n v="1200"/>
    <n v="0"/>
    <n v="55386"/>
    <m/>
    <n v="-1200"/>
    <x v="22"/>
    <x v="1"/>
    <x v="1"/>
  </r>
  <r>
    <s v="Savings A/C"/>
    <x v="111"/>
    <s v="Parents – Home Transfer"/>
    <n v="5000"/>
    <n v="0"/>
    <n v="50386"/>
    <m/>
    <n v="-5000"/>
    <x v="2"/>
    <x v="0"/>
    <x v="0"/>
  </r>
  <r>
    <s v="Savings A/C"/>
    <x v="112"/>
    <s v="Edu Loan EMI"/>
    <n v="3500"/>
    <n v="0"/>
    <n v="46886"/>
    <m/>
    <n v="-3500"/>
    <x v="28"/>
    <x v="12"/>
    <x v="1"/>
  </r>
  <r>
    <s v="Savings A/C"/>
    <x v="113"/>
    <s v="Salary Credit – Oct 2025"/>
    <n v="0"/>
    <n v="50000"/>
    <n v="96886"/>
    <s v="Monthly salary"/>
    <n v="50000"/>
    <x v="25"/>
    <x v="10"/>
    <x v="0"/>
  </r>
  <r>
    <s v="Savings A/C"/>
    <x v="113"/>
    <s v="SIP – Axis Bluechip Fund"/>
    <n v="5000"/>
    <n v="0"/>
    <n v="91886"/>
    <s v="Equity SIP"/>
    <n v="-5000"/>
    <x v="26"/>
    <x v="11"/>
    <x v="1"/>
  </r>
  <r>
    <s v="Savings A/C"/>
    <x v="114"/>
    <s v="Rent – Oct 2025"/>
    <n v="12000"/>
    <n v="0"/>
    <n v="79886"/>
    <m/>
    <n v="-12000"/>
    <x v="27"/>
    <x v="3"/>
    <x v="1"/>
  </r>
  <r>
    <s v="Savings A/C"/>
    <x v="115"/>
    <s v="Electricity Bill"/>
    <n v="870"/>
    <n v="0"/>
    <n v="79016"/>
    <m/>
    <n v="-870"/>
    <x v="7"/>
    <x v="3"/>
    <x v="1"/>
  </r>
  <r>
    <s v="Savings A/C"/>
    <x v="116"/>
    <s v="Grocery"/>
    <n v="1800"/>
    <n v="0"/>
    <n v="77216"/>
    <m/>
    <n v="-1800"/>
    <x v="3"/>
    <x v="2"/>
    <x v="1"/>
  </r>
  <r>
    <s v="Savings A/C"/>
    <x v="116"/>
    <s v="Transfer to RD"/>
    <n v="3000"/>
    <n v="0"/>
    <n v="74216"/>
    <m/>
    <n v="-3000"/>
    <x v="26"/>
    <x v="11"/>
    <x v="1"/>
  </r>
  <r>
    <s v="Savings A/C"/>
    <x v="117"/>
    <s v="Swiggy"/>
    <n v="750"/>
    <n v="0"/>
    <n v="73466"/>
    <m/>
    <n v="-750"/>
    <x v="3"/>
    <x v="2"/>
    <x v="1"/>
  </r>
  <r>
    <s v="Savings A/C"/>
    <x v="118"/>
    <s v="Mobile Bill"/>
    <n v="699"/>
    <n v="0"/>
    <n v="72767"/>
    <m/>
    <n v="-699"/>
    <x v="9"/>
    <x v="1"/>
    <x v="1"/>
  </r>
  <r>
    <s v="Savings A/C"/>
    <x v="119"/>
    <s v="Diwali Shopping – Amazon"/>
    <n v="3500"/>
    <n v="0"/>
    <n v="69267"/>
    <s v="Gifts &amp; clothes"/>
    <n v="-3500"/>
    <x v="20"/>
    <x v="8"/>
    <x v="1"/>
  </r>
  <r>
    <s v="Savings A/C"/>
    <x v="120"/>
    <s v="Diwali Sweets &amp; Gifts"/>
    <n v="1200"/>
    <n v="0"/>
    <n v="68067"/>
    <s v="Family gifts"/>
    <n v="-1200"/>
    <x v="20"/>
    <x v="8"/>
    <x v="1"/>
  </r>
  <r>
    <s v="Savings A/C"/>
    <x v="121"/>
    <s v="Movie + Dinner – Diwali"/>
    <n v="800"/>
    <n v="0"/>
    <n v="67267"/>
    <m/>
    <n v="-800"/>
    <x v="12"/>
    <x v="1"/>
    <x v="1"/>
  </r>
  <r>
    <s v="Savings A/C"/>
    <x v="122"/>
    <s v="Parents – Home Transfer"/>
    <n v="5000"/>
    <n v="0"/>
    <n v="62267"/>
    <m/>
    <n v="-5000"/>
    <x v="2"/>
    <x v="0"/>
    <x v="0"/>
  </r>
  <r>
    <s v="Savings A/C"/>
    <x v="123"/>
    <s v="Edu Loan EMI"/>
    <n v="3500"/>
    <n v="0"/>
    <n v="58767"/>
    <m/>
    <n v="-3500"/>
    <x v="28"/>
    <x v="12"/>
    <x v="1"/>
  </r>
  <r>
    <s v="Savings A/C"/>
    <x v="124"/>
    <s v="Interest Credit – Q2"/>
    <n v="0"/>
    <n v="185"/>
    <n v="58952"/>
    <s v="Savings interest"/>
    <n v="185"/>
    <x v="29"/>
    <x v="13"/>
    <x v="0"/>
  </r>
  <r>
    <s v="Savings A/C"/>
    <x v="125"/>
    <s v="Salary Credit – Nov 2025"/>
    <n v="0"/>
    <n v="50000"/>
    <n v="108952"/>
    <s v="Monthly salary"/>
    <n v="50000"/>
    <x v="25"/>
    <x v="10"/>
    <x v="0"/>
  </r>
  <r>
    <s v="Savings A/C"/>
    <x v="125"/>
    <s v="SIP – Axis Bluechip Fund"/>
    <n v="5000"/>
    <n v="0"/>
    <n v="103952"/>
    <m/>
    <n v="-5000"/>
    <x v="26"/>
    <x v="11"/>
    <x v="1"/>
  </r>
  <r>
    <s v="Savings A/C"/>
    <x v="126"/>
    <s v="Rent – Nov 2025"/>
    <n v="12000"/>
    <n v="0"/>
    <n v="91952"/>
    <m/>
    <n v="-12000"/>
    <x v="27"/>
    <x v="3"/>
    <x v="1"/>
  </r>
  <r>
    <s v="Savings A/C"/>
    <x v="127"/>
    <s v="Electricity Bill"/>
    <n v="860"/>
    <n v="0"/>
    <n v="91092"/>
    <m/>
    <n v="-860"/>
    <x v="7"/>
    <x v="3"/>
    <x v="1"/>
  </r>
  <r>
    <s v="Savings A/C"/>
    <x v="128"/>
    <s v="Grocery"/>
    <n v="1700"/>
    <n v="0"/>
    <n v="89392"/>
    <m/>
    <n v="-1700"/>
    <x v="3"/>
    <x v="2"/>
    <x v="1"/>
  </r>
  <r>
    <s v="Savings A/C"/>
    <x v="128"/>
    <s v="Transfer to RD"/>
    <n v="3000"/>
    <n v="0"/>
    <n v="86392"/>
    <m/>
    <n v="-3000"/>
    <x v="26"/>
    <x v="11"/>
    <x v="1"/>
  </r>
  <r>
    <s v="Savings A/C"/>
    <x v="129"/>
    <s v="Swiggy"/>
    <n v="900"/>
    <n v="0"/>
    <n v="85492"/>
    <m/>
    <n v="-900"/>
    <x v="3"/>
    <x v="2"/>
    <x v="1"/>
  </r>
  <r>
    <s v="Savings A/C"/>
    <x v="130"/>
    <s v="Mobile Bill"/>
    <n v="699"/>
    <n v="0"/>
    <n v="84793"/>
    <m/>
    <n v="-699"/>
    <x v="9"/>
    <x v="1"/>
    <x v="1"/>
  </r>
  <r>
    <s v="Savings A/C"/>
    <x v="131"/>
    <s v="Professional Course – Udemy"/>
    <n v="2999"/>
    <n v="0"/>
    <n v="81794"/>
    <s v="CFA Level 1 prep"/>
    <n v="-2999"/>
    <x v="14"/>
    <x v="4"/>
    <x v="1"/>
  </r>
  <r>
    <s v="Savings A/C"/>
    <x v="132"/>
    <s v="Dinner – Team Birthday"/>
    <n v="700"/>
    <n v="0"/>
    <n v="81094"/>
    <m/>
    <n v="-700"/>
    <x v="4"/>
    <x v="2"/>
    <x v="1"/>
  </r>
  <r>
    <s v="Savings A/C"/>
    <x v="133"/>
    <s v="Gym"/>
    <n v="1200"/>
    <n v="0"/>
    <n v="79894"/>
    <m/>
    <n v="-1200"/>
    <x v="22"/>
    <x v="1"/>
    <x v="1"/>
  </r>
  <r>
    <s v="Savings A/C"/>
    <x v="134"/>
    <s v="Parents – Home Transfer"/>
    <n v="5000"/>
    <n v="0"/>
    <n v="74894"/>
    <m/>
    <n v="-5000"/>
    <x v="2"/>
    <x v="0"/>
    <x v="0"/>
  </r>
  <r>
    <s v="Savings A/C"/>
    <x v="135"/>
    <s v="Edu Loan EMI"/>
    <n v="3500"/>
    <n v="0"/>
    <n v="71394"/>
    <m/>
    <n v="-3500"/>
    <x v="28"/>
    <x v="12"/>
    <x v="1"/>
  </r>
  <r>
    <s v="Savings A/C"/>
    <x v="136"/>
    <s v="Salary Credit – Dec 2025"/>
    <n v="0"/>
    <n v="50000"/>
    <n v="121394"/>
    <s v="Monthly salary"/>
    <n v="50000"/>
    <x v="25"/>
    <x v="10"/>
    <x v="0"/>
  </r>
  <r>
    <s v="Savings A/C"/>
    <x v="136"/>
    <s v="SIP – Axis Bluechip Fund"/>
    <n v="5000"/>
    <n v="0"/>
    <n v="116394"/>
    <m/>
    <n v="-5000"/>
    <x v="26"/>
    <x v="11"/>
    <x v="1"/>
  </r>
  <r>
    <s v="Savings A/C"/>
    <x v="137"/>
    <s v="Rent – Dec 2025"/>
    <n v="12000"/>
    <n v="0"/>
    <n v="104394"/>
    <m/>
    <n v="-12000"/>
    <x v="27"/>
    <x v="3"/>
    <x v="1"/>
  </r>
  <r>
    <s v="Savings A/C"/>
    <x v="138"/>
    <s v="Electricity Bill"/>
    <n v="950"/>
    <n v="0"/>
    <n v="103444"/>
    <s v="Higher – winter"/>
    <n v="-950"/>
    <x v="7"/>
    <x v="3"/>
    <x v="1"/>
  </r>
  <r>
    <s v="Savings A/C"/>
    <x v="139"/>
    <s v="Grocery"/>
    <n v="1850"/>
    <n v="0"/>
    <n v="101594"/>
    <m/>
    <n v="-1850"/>
    <x v="3"/>
    <x v="2"/>
    <x v="1"/>
  </r>
  <r>
    <s v="Savings A/C"/>
    <x v="139"/>
    <s v="Transfer to RD"/>
    <n v="3000"/>
    <n v="0"/>
    <n v="98594"/>
    <m/>
    <n v="-3000"/>
    <x v="26"/>
    <x v="11"/>
    <x v="1"/>
  </r>
  <r>
    <s v="Savings A/C"/>
    <x v="140"/>
    <s v="Swiggy"/>
    <n v="850"/>
    <n v="0"/>
    <n v="97744"/>
    <m/>
    <n v="-850"/>
    <x v="3"/>
    <x v="2"/>
    <x v="1"/>
  </r>
  <r>
    <s v="Savings A/C"/>
    <x v="141"/>
    <s v="Mobile Bill"/>
    <n v="699"/>
    <n v="0"/>
    <n v="97045"/>
    <m/>
    <n v="-699"/>
    <x v="9"/>
    <x v="1"/>
    <x v="1"/>
  </r>
  <r>
    <s v="Savings A/C"/>
    <x v="142"/>
    <s v="Year-End Bonus Credit"/>
    <n v="0"/>
    <n v="25000"/>
    <n v="122045"/>
    <s v="Performance bonus"/>
    <n v="25000"/>
    <x v="25"/>
    <x v="10"/>
    <x v="0"/>
  </r>
  <r>
    <s v="Savings A/C"/>
    <x v="143"/>
    <s v="Flight – Home Trip"/>
    <n v="3800"/>
    <n v="0"/>
    <n v="118245"/>
    <s v="Prayagraj – Christmas"/>
    <n v="-3800"/>
    <x v="30"/>
    <x v="5"/>
    <x v="1"/>
  </r>
  <r>
    <s v="Savings A/C"/>
    <x v="144"/>
    <s v="New Year Shopping"/>
    <n v="2500"/>
    <n v="0"/>
    <n v="115745"/>
    <m/>
    <n v="-2500"/>
    <x v="19"/>
    <x v="1"/>
    <x v="1"/>
  </r>
  <r>
    <s v="Savings A/C"/>
    <x v="145"/>
    <s v="Extra SIP – Top-Up"/>
    <n v="5000"/>
    <n v="0"/>
    <n v="110745"/>
    <s v="Bonus invested"/>
    <n v="-5000"/>
    <x v="26"/>
    <x v="11"/>
    <x v="1"/>
  </r>
  <r>
    <s v="Savings A/C"/>
    <x v="146"/>
    <s v="Edu Loan EMI"/>
    <n v="3500"/>
    <n v="0"/>
    <n v="107245"/>
    <m/>
    <n v="-3500"/>
    <x v="28"/>
    <x v="12"/>
    <x v="1"/>
  </r>
  <r>
    <s v="Savings A/C"/>
    <x v="147"/>
    <s v="Salary Credit – Jan 2026"/>
    <n v="0"/>
    <n v="50000"/>
    <n v="157245"/>
    <s v="Monthly salary"/>
    <n v="50000"/>
    <x v="25"/>
    <x v="10"/>
    <x v="0"/>
  </r>
  <r>
    <s v="Savings A/C"/>
    <x v="147"/>
    <s v="SIP – Axis Bluechip Fund"/>
    <n v="5000"/>
    <n v="0"/>
    <n v="152245"/>
    <m/>
    <n v="-5000"/>
    <x v="26"/>
    <x v="11"/>
    <x v="1"/>
  </r>
  <r>
    <s v="Savings A/C"/>
    <x v="148"/>
    <s v="Rent – Jan 2026"/>
    <n v="12000"/>
    <n v="0"/>
    <n v="140245"/>
    <m/>
    <n v="-12000"/>
    <x v="27"/>
    <x v="3"/>
    <x v="1"/>
  </r>
  <r>
    <s v="Savings A/C"/>
    <x v="149"/>
    <s v="Electricity Bill"/>
    <n v="930"/>
    <n v="0"/>
    <n v="139315"/>
    <m/>
    <n v="-930"/>
    <x v="7"/>
    <x v="3"/>
    <x v="1"/>
  </r>
  <r>
    <s v="Savings A/C"/>
    <x v="150"/>
    <s v="Grocery"/>
    <n v="1750"/>
    <n v="0"/>
    <n v="137565"/>
    <m/>
    <n v="-1750"/>
    <x v="3"/>
    <x v="2"/>
    <x v="1"/>
  </r>
  <r>
    <s v="Savings A/C"/>
    <x v="150"/>
    <s v="Transfer to RD"/>
    <n v="3000"/>
    <n v="0"/>
    <n v="134565"/>
    <m/>
    <n v="-3000"/>
    <x v="26"/>
    <x v="11"/>
    <x v="1"/>
  </r>
  <r>
    <s v="Savings A/C"/>
    <x v="151"/>
    <s v="Swiggy"/>
    <n v="900"/>
    <n v="0"/>
    <n v="133665"/>
    <m/>
    <n v="-900"/>
    <x v="3"/>
    <x v="2"/>
    <x v="1"/>
  </r>
  <r>
    <s v="Savings A/C"/>
    <x v="152"/>
    <s v="Mobile Bill"/>
    <n v="699"/>
    <n v="0"/>
    <n v="132966"/>
    <m/>
    <n v="-699"/>
    <x v="9"/>
    <x v="1"/>
    <x v="1"/>
  </r>
  <r>
    <s v="Savings A/C"/>
    <x v="153"/>
    <s v="PPFAS Flexi Cap Fund – SIP"/>
    <n v="2000"/>
    <n v="0"/>
    <n v="130966"/>
    <s v="New SIP added"/>
    <n v="-2000"/>
    <x v="26"/>
    <x v="11"/>
    <x v="1"/>
  </r>
  <r>
    <s v="Savings A/C"/>
    <x v="154"/>
    <s v="Medical Insurance Premium"/>
    <n v="2000"/>
    <n v="0"/>
    <n v="128966"/>
    <s v="Health policy renewal"/>
    <n v="-2000"/>
    <x v="28"/>
    <x v="12"/>
    <x v="1"/>
  </r>
  <r>
    <s v="Savings A/C"/>
    <x v="155"/>
    <s v="Book – Financial Modeling"/>
    <n v="799"/>
    <n v="0"/>
    <n v="128167"/>
    <s v="Professional reading"/>
    <n v="-799"/>
    <x v="6"/>
    <x v="4"/>
    <x v="1"/>
  </r>
  <r>
    <s v="Savings A/C"/>
    <x v="156"/>
    <s v="Parents – Home Transfer"/>
    <n v="5000"/>
    <n v="0"/>
    <n v="123167"/>
    <m/>
    <n v="-5000"/>
    <x v="2"/>
    <x v="0"/>
    <x v="0"/>
  </r>
  <r>
    <s v="Savings A/C"/>
    <x v="157"/>
    <s v="Edu Loan EMI"/>
    <n v="3500"/>
    <n v="0"/>
    <n v="119667"/>
    <m/>
    <n v="-3500"/>
    <x v="28"/>
    <x v="12"/>
    <x v="1"/>
  </r>
  <r>
    <s v="Savings A/C"/>
    <x v="158"/>
    <s v="Interest Credit – Q3"/>
    <n v="0"/>
    <n v="195"/>
    <n v="119862"/>
    <s v="Bank interest"/>
    <n v="195"/>
    <x v="29"/>
    <x v="13"/>
    <x v="0"/>
  </r>
  <r>
    <s v="Savings A/C"/>
    <x v="159"/>
    <s v="Salary Credit – Feb 2026"/>
    <n v="0"/>
    <n v="50000"/>
    <n v="169862"/>
    <s v="Monthly salary"/>
    <n v="50000"/>
    <x v="25"/>
    <x v="10"/>
    <x v="0"/>
  </r>
  <r>
    <s v="Savings A/C"/>
    <x v="159"/>
    <s v="SIP – Axis Bluechip Fund"/>
    <n v="5000"/>
    <n v="0"/>
    <n v="164862"/>
    <m/>
    <n v="-5000"/>
    <x v="26"/>
    <x v="11"/>
    <x v="1"/>
  </r>
  <r>
    <s v="Savings A/C"/>
    <x v="160"/>
    <s v="Rent – Feb 2026"/>
    <n v="12000"/>
    <n v="0"/>
    <n v="152862"/>
    <m/>
    <n v="-12000"/>
    <x v="27"/>
    <x v="3"/>
    <x v="1"/>
  </r>
  <r>
    <s v="Savings A/C"/>
    <x v="161"/>
    <s v="Electricity Bill"/>
    <n v="880"/>
    <n v="0"/>
    <n v="151982"/>
    <m/>
    <n v="-880"/>
    <x v="7"/>
    <x v="3"/>
    <x v="1"/>
  </r>
  <r>
    <s v="Savings A/C"/>
    <x v="162"/>
    <s v="Grocery"/>
    <n v="1700"/>
    <n v="0"/>
    <n v="150282"/>
    <m/>
    <n v="-1700"/>
    <x v="3"/>
    <x v="2"/>
    <x v="1"/>
  </r>
  <r>
    <s v="Savings A/C"/>
    <x v="162"/>
    <s v="Transfer to RD"/>
    <n v="3000"/>
    <n v="0"/>
    <n v="147282"/>
    <m/>
    <n v="-3000"/>
    <x v="26"/>
    <x v="11"/>
    <x v="1"/>
  </r>
  <r>
    <s v="Savings A/C"/>
    <x v="163"/>
    <s v="Swiggy"/>
    <n v="800"/>
    <n v="0"/>
    <n v="146482"/>
    <m/>
    <n v="-800"/>
    <x v="3"/>
    <x v="2"/>
    <x v="1"/>
  </r>
  <r>
    <s v="Savings A/C"/>
    <x v="164"/>
    <s v="Mobile Bill"/>
    <n v="699"/>
    <n v="0"/>
    <n v="145783"/>
    <m/>
    <n v="-699"/>
    <x v="9"/>
    <x v="1"/>
    <x v="1"/>
  </r>
  <r>
    <s v="Savings A/C"/>
    <x v="165"/>
    <s v="PPFAS Flexi Cap SIP"/>
    <n v="2000"/>
    <n v="0"/>
    <n v="143783"/>
    <m/>
    <n v="-2000"/>
    <x v="26"/>
    <x v="11"/>
    <x v="1"/>
  </r>
  <r>
    <s v="Savings A/C"/>
    <x v="166"/>
    <s v="Valentine Dinner"/>
    <n v="1200"/>
    <n v="0"/>
    <n v="142583"/>
    <s v="Fine dining"/>
    <n v="-1200"/>
    <x v="4"/>
    <x v="2"/>
    <x v="1"/>
  </r>
  <r>
    <s v="Savings A/C"/>
    <x v="167"/>
    <s v="Freelance – Excel Model"/>
    <n v="0"/>
    <n v="6000"/>
    <n v="148583"/>
    <s v="Side consulting"/>
    <n v="6000"/>
    <x v="21"/>
    <x v="9"/>
    <x v="0"/>
  </r>
  <r>
    <s v="Savings A/C"/>
    <x v="168"/>
    <s v="Gym"/>
    <n v="1200"/>
    <n v="0"/>
    <n v="147383"/>
    <m/>
    <n v="-1200"/>
    <x v="22"/>
    <x v="1"/>
    <x v="1"/>
  </r>
  <r>
    <s v="Savings A/C"/>
    <x v="169"/>
    <s v="Parents – Home Transfer"/>
    <n v="5000"/>
    <n v="0"/>
    <n v="142383"/>
    <m/>
    <n v="-5000"/>
    <x v="2"/>
    <x v="0"/>
    <x v="0"/>
  </r>
  <r>
    <s v="Savings A/C"/>
    <x v="170"/>
    <s v="Edu Loan EMI"/>
    <n v="3500"/>
    <n v="0"/>
    <n v="138883"/>
    <m/>
    <n v="-3500"/>
    <x v="28"/>
    <x v="12"/>
    <x v="1"/>
  </r>
  <r>
    <s v="Savings A/C"/>
    <x v="171"/>
    <s v="Salary Credit – Mar 2026"/>
    <n v="0"/>
    <n v="50000"/>
    <n v="188883"/>
    <s v="Monthly salary"/>
    <n v="50000"/>
    <x v="25"/>
    <x v="10"/>
    <x v="0"/>
  </r>
  <r>
    <s v="Savings A/C"/>
    <x v="171"/>
    <s v="SIP – Axis Bluechip Fund"/>
    <n v="5000"/>
    <n v="0"/>
    <n v="183883"/>
    <m/>
    <n v="-5000"/>
    <x v="26"/>
    <x v="11"/>
    <x v="1"/>
  </r>
  <r>
    <s v="Savings A/C"/>
    <x v="172"/>
    <s v="Rent – Mar 2026"/>
    <n v="12000"/>
    <n v="0"/>
    <n v="171883"/>
    <m/>
    <n v="-12000"/>
    <x v="27"/>
    <x v="3"/>
    <x v="1"/>
  </r>
  <r>
    <s v="Savings A/C"/>
    <x v="173"/>
    <s v="Electricity Bill"/>
    <n v="860"/>
    <n v="0"/>
    <n v="171023"/>
    <m/>
    <n v="-860"/>
    <x v="7"/>
    <x v="3"/>
    <x v="1"/>
  </r>
  <r>
    <s v="Savings A/C"/>
    <x v="174"/>
    <s v="Grocery"/>
    <n v="1800"/>
    <n v="0"/>
    <n v="169223"/>
    <m/>
    <n v="-1800"/>
    <x v="3"/>
    <x v="2"/>
    <x v="1"/>
  </r>
  <r>
    <s v="Savings A/C"/>
    <x v="174"/>
    <s v="Transfer to RD"/>
    <n v="3000"/>
    <n v="0"/>
    <n v="166223"/>
    <m/>
    <n v="-3000"/>
    <x v="26"/>
    <x v="11"/>
    <x v="1"/>
  </r>
  <r>
    <s v="Savings A/C"/>
    <x v="175"/>
    <s v="Swiggy"/>
    <n v="850"/>
    <n v="0"/>
    <n v="165373"/>
    <m/>
    <n v="-850"/>
    <x v="3"/>
    <x v="2"/>
    <x v="1"/>
  </r>
  <r>
    <s v="Savings A/C"/>
    <x v="176"/>
    <s v="Mobile Bill"/>
    <n v="699"/>
    <n v="0"/>
    <n v="164674"/>
    <m/>
    <n v="-699"/>
    <x v="9"/>
    <x v="1"/>
    <x v="1"/>
  </r>
  <r>
    <s v="Savings A/C"/>
    <x v="177"/>
    <s v="PPFAS Flexi Cap SIP"/>
    <n v="2000"/>
    <n v="0"/>
    <n v="162674"/>
    <m/>
    <n v="-2000"/>
    <x v="26"/>
    <x v="11"/>
    <x v="1"/>
  </r>
  <r>
    <s v="Savings A/C"/>
    <x v="178"/>
    <s v="Tax Saving Investment – ELSS"/>
    <n v="5000"/>
    <n v="0"/>
    <n v="157674"/>
    <s v="80C tax planning"/>
    <n v="-5000"/>
    <x v="26"/>
    <x v="11"/>
    <x v="1"/>
  </r>
  <r>
    <s v="Savings A/C"/>
    <x v="179"/>
    <s v="Annual Health Checkup"/>
    <n v="900"/>
    <n v="0"/>
    <n v="156774"/>
    <m/>
    <n v="-900"/>
    <x v="17"/>
    <x v="6"/>
    <x v="1"/>
  </r>
  <r>
    <s v="Savings A/C"/>
    <x v="180"/>
    <s v="Parents – Home Transfer"/>
    <n v="5000"/>
    <n v="0"/>
    <n v="151774"/>
    <m/>
    <n v="-5000"/>
    <x v="2"/>
    <x v="0"/>
    <x v="0"/>
  </r>
  <r>
    <s v="Savings A/C"/>
    <x v="181"/>
    <s v="Edu Loan EMI"/>
    <n v="3500"/>
    <n v="0"/>
    <n v="148274"/>
    <m/>
    <n v="-3500"/>
    <x v="28"/>
    <x v="12"/>
    <x v="1"/>
  </r>
  <r>
    <s v="Savings A/C"/>
    <x v="182"/>
    <s v="Salary Credit – Apr 2026"/>
    <n v="0"/>
    <n v="50000"/>
    <n v="198274"/>
    <s v="Monthly salary"/>
    <n v="50000"/>
    <x v="25"/>
    <x v="10"/>
    <x v="0"/>
  </r>
  <r>
    <s v="Savings A/C"/>
    <x v="182"/>
    <s v="SIP – Axis Bluechip Fund"/>
    <n v="5000"/>
    <n v="0"/>
    <n v="193274"/>
    <m/>
    <n v="-5000"/>
    <x v="26"/>
    <x v="11"/>
    <x v="1"/>
  </r>
  <r>
    <s v="Savings A/C"/>
    <x v="183"/>
    <s v="Rent – Apr 2026"/>
    <n v="12000"/>
    <n v="0"/>
    <n v="181274"/>
    <m/>
    <n v="-12000"/>
    <x v="27"/>
    <x v="3"/>
    <x v="1"/>
  </r>
  <r>
    <s v="Savings A/C"/>
    <x v="184"/>
    <s v="Electricity Bill"/>
    <n v="990"/>
    <n v="0"/>
    <n v="180284"/>
    <s v="Summer starts"/>
    <n v="-990"/>
    <x v="7"/>
    <x v="3"/>
    <x v="1"/>
  </r>
  <r>
    <s v="Savings A/C"/>
    <x v="185"/>
    <s v="Grocery"/>
    <n v="1850"/>
    <n v="0"/>
    <n v="178434"/>
    <m/>
    <n v="-1850"/>
    <x v="3"/>
    <x v="2"/>
    <x v="1"/>
  </r>
  <r>
    <s v="Savings A/C"/>
    <x v="185"/>
    <s v="Transfer to RD"/>
    <n v="3000"/>
    <n v="0"/>
    <n v="175434"/>
    <m/>
    <n v="-3000"/>
    <x v="26"/>
    <x v="11"/>
    <x v="1"/>
  </r>
  <r>
    <s v="Savings A/C"/>
    <x v="186"/>
    <s v="Swiggy"/>
    <n v="900"/>
    <n v="0"/>
    <n v="174534"/>
    <m/>
    <n v="-900"/>
    <x v="3"/>
    <x v="2"/>
    <x v="1"/>
  </r>
  <r>
    <s v="Savings A/C"/>
    <x v="187"/>
    <s v="Mobile Bill"/>
    <n v="699"/>
    <n v="0"/>
    <n v="173835"/>
    <m/>
    <n v="-699"/>
    <x v="9"/>
    <x v="1"/>
    <x v="1"/>
  </r>
  <r>
    <s v="Savings A/C"/>
    <x v="188"/>
    <s v="PPFAS Flexi Cap SIP"/>
    <n v="2000"/>
    <n v="0"/>
    <n v="171835"/>
    <m/>
    <n v="-2000"/>
    <x v="26"/>
    <x v="11"/>
    <x v="1"/>
  </r>
  <r>
    <s v="Savings A/C"/>
    <x v="189"/>
    <s v="Increment – Salary Hike"/>
    <n v="0"/>
    <n v="5000"/>
    <n v="176835"/>
    <s v="Annual increment +10%"/>
    <n v="5000"/>
    <x v="25"/>
    <x v="10"/>
    <x v="0"/>
  </r>
  <r>
    <s v="Savings A/C"/>
    <x v="190"/>
    <s v="Flight – Weekend Trip Manali"/>
    <n v="4500"/>
    <n v="0"/>
    <n v="172335"/>
    <s v="Leisure trip"/>
    <n v="-4500"/>
    <x v="30"/>
    <x v="5"/>
    <x v="1"/>
  </r>
  <r>
    <s v="Savings A/C"/>
    <x v="191"/>
    <s v="Hotel – Manali Trip"/>
    <n v="3000"/>
    <n v="0"/>
    <n v="169335"/>
    <s v="2 nights"/>
    <n v="-3000"/>
    <x v="13"/>
    <x v="5"/>
    <x v="1"/>
  </r>
  <r>
    <s v="Savings A/C"/>
    <x v="192"/>
    <s v="Parents – Home Transfer"/>
    <n v="5000"/>
    <n v="0"/>
    <n v="164335"/>
    <m/>
    <n v="-5000"/>
    <x v="2"/>
    <x v="0"/>
    <x v="0"/>
  </r>
  <r>
    <s v="Savings A/C"/>
    <x v="193"/>
    <s v="Edu Loan EMI"/>
    <n v="3500"/>
    <n v="0"/>
    <n v="160835"/>
    <m/>
    <n v="-3500"/>
    <x v="28"/>
    <x v="12"/>
    <x v="1"/>
  </r>
  <r>
    <s v="Savings A/C"/>
    <x v="194"/>
    <s v="Interest Credit – Q4"/>
    <n v="0"/>
    <n v="210"/>
    <n v="161045"/>
    <s v="Bank interest"/>
    <n v="210"/>
    <x v="29"/>
    <x v="13"/>
    <x v="0"/>
  </r>
  <r>
    <s v="Savings A/C"/>
    <x v="195"/>
    <s v="Salary Credit – May 2026"/>
    <n v="0"/>
    <n v="55000"/>
    <n v="216045"/>
    <s v="Revised salary (10% hike)"/>
    <n v="55000"/>
    <x v="25"/>
    <x v="10"/>
    <x v="0"/>
  </r>
  <r>
    <s v="Savings A/C"/>
    <x v="195"/>
    <s v="SIP – Axis Bluechip Fund"/>
    <n v="6000"/>
    <n v="0"/>
    <n v="210045"/>
    <s v="Increased SIP post hike"/>
    <n v="-6000"/>
    <x v="26"/>
    <x v="11"/>
    <x v="1"/>
  </r>
  <r>
    <s v="Savings A/C"/>
    <x v="196"/>
    <s v="Rent – May 2026"/>
    <n v="12000"/>
    <n v="0"/>
    <n v="198045"/>
    <m/>
    <n v="-12000"/>
    <x v="27"/>
    <x v="3"/>
    <x v="1"/>
  </r>
  <r>
    <s v="Savings A/C"/>
    <x v="197"/>
    <s v="Electricity Bill"/>
    <n v="1200"/>
    <n v="0"/>
    <n v="196845"/>
    <s v="Peak summer"/>
    <n v="-1200"/>
    <x v="7"/>
    <x v="3"/>
    <x v="1"/>
  </r>
  <r>
    <s v="Savings A/C"/>
    <x v="198"/>
    <s v="Grocery"/>
    <n v="1900"/>
    <n v="0"/>
    <n v="194945"/>
    <m/>
    <n v="-1900"/>
    <x v="3"/>
    <x v="2"/>
    <x v="1"/>
  </r>
  <r>
    <s v="Savings A/C"/>
    <x v="198"/>
    <s v="Transfer to RD"/>
    <n v="4000"/>
    <n v="0"/>
    <n v="190945"/>
    <s v="Increased RD"/>
    <n v="-4000"/>
    <x v="26"/>
    <x v="11"/>
    <x v="1"/>
  </r>
  <r>
    <s v="Savings A/C"/>
    <x v="199"/>
    <s v="Swiggy"/>
    <n v="950"/>
    <n v="0"/>
    <n v="189995"/>
    <m/>
    <n v="-950"/>
    <x v="3"/>
    <x v="2"/>
    <x v="1"/>
  </r>
  <r>
    <s v="Savings A/C"/>
    <x v="200"/>
    <s v="Mobile Bill"/>
    <n v="699"/>
    <n v="0"/>
    <n v="189296"/>
    <m/>
    <n v="-699"/>
    <x v="9"/>
    <x v="1"/>
    <x v="1"/>
  </r>
  <r>
    <s v="Savings A/C"/>
    <x v="201"/>
    <s v="PPFAS Flexi Cap SIP"/>
    <n v="2000"/>
    <n v="0"/>
    <n v="187296"/>
    <m/>
    <n v="-2000"/>
    <x v="26"/>
    <x v="11"/>
    <x v="1"/>
  </r>
  <r>
    <s v="Savings A/C"/>
    <x v="202"/>
    <s v="CFA Level 1 Exam Fee"/>
    <n v="15000"/>
    <n v="0"/>
    <n v="172296"/>
    <s v="Professional certification"/>
    <n v="-15000"/>
    <x v="16"/>
    <x v="4"/>
    <x v="1"/>
  </r>
  <r>
    <s v="Savings A/C"/>
    <x v="203"/>
    <s v="Gym"/>
    <n v="1200"/>
    <n v="0"/>
    <n v="171096"/>
    <m/>
    <n v="-1200"/>
    <x v="22"/>
    <x v="1"/>
    <x v="1"/>
  </r>
  <r>
    <s v="Savings A/C"/>
    <x v="204"/>
    <s v="Parents – Home Transfer"/>
    <n v="5000"/>
    <n v="0"/>
    <n v="166096"/>
    <m/>
    <n v="-5000"/>
    <x v="2"/>
    <x v="0"/>
    <x v="0"/>
  </r>
  <r>
    <s v="Savings A/C"/>
    <x v="205"/>
    <s v="Edu Loan EMI"/>
    <n v="3500"/>
    <n v="0"/>
    <n v="162596"/>
    <m/>
    <n v="-3500"/>
    <x v="28"/>
    <x v="12"/>
    <x v="1"/>
  </r>
  <r>
    <s v="Savings A/C"/>
    <x v="206"/>
    <s v="Salary Credit – Jun 2026"/>
    <n v="0"/>
    <n v="55000"/>
    <n v="217596"/>
    <s v="Monthly salary"/>
    <n v="55000"/>
    <x v="25"/>
    <x v="10"/>
    <x v="0"/>
  </r>
  <r>
    <s v="Savings A/C"/>
    <x v="206"/>
    <s v="SIP – Axis Bluechip Fund"/>
    <n v="6000"/>
    <n v="0"/>
    <n v="211596"/>
    <m/>
    <n v="-6000"/>
    <x v="26"/>
    <x v="11"/>
    <x v="1"/>
  </r>
  <r>
    <s v="Savings A/C"/>
    <x v="207"/>
    <s v="Rent – Jun 2026"/>
    <n v="12000"/>
    <n v="0"/>
    <n v="199596"/>
    <m/>
    <n v="-12000"/>
    <x v="27"/>
    <x v="3"/>
    <x v="1"/>
  </r>
  <r>
    <s v="Savings A/C"/>
    <x v="208"/>
    <s v="Electricity Bill"/>
    <n v="1150"/>
    <n v="0"/>
    <n v="198446"/>
    <m/>
    <n v="-1150"/>
    <x v="7"/>
    <x v="3"/>
    <x v="1"/>
  </r>
  <r>
    <s v="Savings A/C"/>
    <x v="209"/>
    <s v="Grocery"/>
    <n v="1850"/>
    <n v="0"/>
    <n v="196596"/>
    <m/>
    <n v="-1850"/>
    <x v="3"/>
    <x v="2"/>
    <x v="1"/>
  </r>
  <r>
    <s v="Savings A/C"/>
    <x v="209"/>
    <s v="Transfer to RD"/>
    <n v="4000"/>
    <n v="0"/>
    <n v="192596"/>
    <m/>
    <n v="-4000"/>
    <x v="26"/>
    <x v="11"/>
    <x v="1"/>
  </r>
  <r>
    <s v="Savings A/C"/>
    <x v="210"/>
    <s v="Swiggy"/>
    <n v="900"/>
    <n v="0"/>
    <n v="191696"/>
    <m/>
    <n v="-900"/>
    <x v="3"/>
    <x v="2"/>
    <x v="1"/>
  </r>
  <r>
    <s v="Savings A/C"/>
    <x v="211"/>
    <s v="Mobile Bill"/>
    <n v="699"/>
    <n v="0"/>
    <n v="190997"/>
    <m/>
    <n v="-699"/>
    <x v="9"/>
    <x v="1"/>
    <x v="1"/>
  </r>
  <r>
    <s v="Savings A/C"/>
    <x v="212"/>
    <s v="PPFAS Flexi Cap SIP"/>
    <n v="2000"/>
    <n v="0"/>
    <n v="188997"/>
    <m/>
    <n v="-2000"/>
    <x v="26"/>
    <x v="11"/>
    <x v="1"/>
  </r>
  <r>
    <s v="Savings A/C"/>
    <x v="213"/>
    <s v="Freelance – Valuation Report"/>
    <n v="0"/>
    <n v="10000"/>
    <n v="198997"/>
    <s v="Side project income"/>
    <n v="10000"/>
    <x v="21"/>
    <x v="9"/>
    <x v="0"/>
  </r>
  <r>
    <s v="Savings A/C"/>
    <x v="214"/>
    <s v="Amazon – New Laptop Bag"/>
    <n v="1499"/>
    <n v="0"/>
    <n v="197498"/>
    <s v="Office accessory"/>
    <n v="-1499"/>
    <x v="18"/>
    <x v="7"/>
    <x v="1"/>
  </r>
  <r>
    <s v="Savings A/C"/>
    <x v="215"/>
    <s v="Gym"/>
    <n v="1200"/>
    <n v="0"/>
    <n v="196298"/>
    <m/>
    <n v="-1200"/>
    <x v="22"/>
    <x v="1"/>
    <x v="1"/>
  </r>
  <r>
    <s v="Savings A/C"/>
    <x v="216"/>
    <s v="Parents – Home Transfer"/>
    <n v="5000"/>
    <n v="0"/>
    <n v="191298"/>
    <m/>
    <n v="-5000"/>
    <x v="2"/>
    <x v="0"/>
    <x v="0"/>
  </r>
  <r>
    <s v="Savings A/C"/>
    <x v="217"/>
    <s v="Edu Loan EMI"/>
    <n v="3500"/>
    <n v="0"/>
    <n v="187798"/>
    <m/>
    <n v="-3500"/>
    <x v="28"/>
    <x v="12"/>
    <x v="1"/>
  </r>
  <r>
    <s v="Savings A/C"/>
    <x v="218"/>
    <s v="Interest Credit – Q1 FY27"/>
    <n v="0"/>
    <n v="225"/>
    <n v="188023"/>
    <s v="Bank interest"/>
    <n v="225"/>
    <x v="29"/>
    <x v="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2634C-1C46-451C-B05C-02B820D46917}" name="PivotTable1"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F6:H17"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axis="axisRow" showAll="0">
      <items count="32">
        <item x="19"/>
        <item x="0"/>
        <item x="7"/>
        <item x="16"/>
        <item x="2"/>
        <item x="20"/>
        <item x="3"/>
        <item x="22"/>
        <item x="5"/>
        <item x="13"/>
        <item x="15"/>
        <item x="17"/>
        <item x="4"/>
        <item x="18"/>
        <item x="9"/>
        <item x="14"/>
        <item x="12"/>
        <item x="21"/>
        <item x="1"/>
        <item x="24"/>
        <item x="23"/>
        <item x="10"/>
        <item x="11"/>
        <item x="6"/>
        <item x="8"/>
        <item x="25"/>
        <item x="26"/>
        <item x="27"/>
        <item x="28"/>
        <item x="29"/>
        <item x="30"/>
        <item t="default"/>
      </items>
    </pivotField>
    <pivotField axis="axisRow" showAll="0" sortType="descending">
      <items count="15">
        <item x="4"/>
        <item x="3"/>
        <item x="9"/>
        <item x="0"/>
        <item x="2"/>
        <item x="6"/>
        <item x="7"/>
        <item x="1"/>
        <item x="8"/>
        <item x="5"/>
        <item x="10"/>
        <item x="11"/>
        <item x="12"/>
        <item x="13"/>
        <item t="default"/>
      </items>
      <autoSortScope>
        <pivotArea dataOnly="0" outline="0" fieldPosition="0">
          <references count="1">
            <reference field="4294967294" count="1" selected="0">
              <x v="1"/>
            </reference>
          </references>
        </pivotArea>
      </autoSortScope>
    </pivotField>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9"/>
    <field x="8"/>
  </rowFields>
  <rowItems count="11">
    <i>
      <x v="10"/>
    </i>
    <i r="1">
      <x v="25"/>
    </i>
    <i>
      <x v="3"/>
    </i>
    <i r="1">
      <x v="1"/>
    </i>
    <i r="1">
      <x v="4"/>
    </i>
    <i r="1">
      <x v="21"/>
    </i>
    <i>
      <x v="2"/>
    </i>
    <i r="1">
      <x v="17"/>
    </i>
    <i>
      <x v="13"/>
    </i>
    <i r="1">
      <x v="29"/>
    </i>
    <i t="grand">
      <x/>
    </i>
  </rowItems>
  <colFields count="1">
    <field x="-2"/>
  </colFields>
  <colItems count="2">
    <i>
      <x/>
    </i>
    <i i="1">
      <x v="1"/>
    </i>
  </colItems>
  <pageFields count="1">
    <pageField fld="10" item="1" hier="-1"/>
  </pageFields>
  <dataFields count="2">
    <dataField name="Income" fld="7" baseField="0" baseItem="0"/>
    <dataField name="Sum of Income/Expense" fld="7" baseField="0" baseItem="0" numFmtId="167"/>
  </dataFields>
  <formats count="4">
    <format dxfId="10">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 dxfId="12">
      <pivotArea dataOnly="0" labelOnly="1" outline="0" fieldPosition="0">
        <references count="1">
          <reference field="4294967294" count="2">
            <x v="0"/>
            <x v="1"/>
          </reference>
        </references>
      </pivotArea>
    </format>
    <format dxfId="13">
      <pivotArea dataOnly="0" labelOnly="1" outline="0" fieldPosition="0">
        <references count="1">
          <reference field="4294967294" count="2">
            <x v="0"/>
            <x v="1"/>
          </reference>
        </references>
      </pivotArea>
    </format>
  </formats>
  <conditionalFormats count="1">
    <conditionalFormat scope="field" priority="9">
      <pivotAreas count="1">
        <pivotArea outline="0" collapsedLevelsAreSubtotals="1" fieldPosition="0">
          <references count="2">
            <reference field="4294967294" count="1" selected="0">
              <x v="1"/>
            </reference>
            <reference field="8" count="0" selected="0"/>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01C848-CBD3-4B6D-A0C1-860C5BEE2B5B}" name="PivotTable6"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J20:L59"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showAll="0"/>
    <pivotField showAll="0" sortType="descending">
      <autoSortScope>
        <pivotArea dataOnly="0" outline="0" fieldPosition="0">
          <references count="1">
            <reference field="4294967294" count="1" selected="0">
              <x v="1"/>
            </reference>
          </references>
        </pivotArea>
      </autoSortScope>
    </pivotField>
    <pivotField axis="axisPage" multipleItemSelectionAllowed="1"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2"/>
    <field x="11"/>
  </rowFields>
  <rowItems count="39">
    <i>
      <x v="1"/>
    </i>
    <i r="1">
      <x v="7"/>
    </i>
    <i r="1">
      <x v="8"/>
    </i>
    <i r="1">
      <x v="9"/>
    </i>
    <i r="1">
      <x v="10"/>
    </i>
    <i r="1">
      <x v="11"/>
    </i>
    <i r="1">
      <x v="12"/>
    </i>
    <i>
      <x v="2"/>
    </i>
    <i r="1">
      <x v="1"/>
    </i>
    <i r="1">
      <x v="2"/>
    </i>
    <i r="1">
      <x v="3"/>
    </i>
    <i r="1">
      <x v="4"/>
    </i>
    <i r="1">
      <x v="6"/>
    </i>
    <i r="1">
      <x v="7"/>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t="grand">
      <x/>
    </i>
  </rowItems>
  <colFields count="1">
    <field x="-2"/>
  </colFields>
  <colItems count="2">
    <i>
      <x/>
    </i>
    <i i="1">
      <x v="1"/>
    </i>
  </colItems>
  <pageFields count="1">
    <pageField fld="10" hier="-1"/>
  </pageFields>
  <dataFields count="2">
    <dataField name="Net Savings" fld="7" baseField="0" baseItem="0"/>
    <dataField name="Sum of Income/Expense" fld="7" baseField="0" baseItem="0" numFmtId="167"/>
  </dataFields>
  <formats count="4">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 dxfId="25">
      <pivotArea dataOnly="0" labelOnly="1" outline="0" fieldPosition="0">
        <references count="1">
          <reference field="4294967294" count="2">
            <x v="0"/>
            <x v="1"/>
          </reference>
        </references>
      </pivotArea>
    </format>
    <format dxfId="24">
      <pivotArea dataOnly="0" labelOnly="1" outline="0" fieldPosition="0">
        <references count="1">
          <reference field="4294967294" count="2">
            <x v="0"/>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1" count="0" selected="0"/>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D1975-B3EE-4754-9BFA-1834C0990086}" name="PivotTable5"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F20:H59"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showAll="0"/>
    <pivotField showAll="0" sortType="descending">
      <autoSortScope>
        <pivotArea dataOnly="0" outline="0" fieldPosition="0">
          <references count="1">
            <reference field="4294967294" count="1" selected="0">
              <x v="1"/>
            </reference>
          </references>
        </pivotArea>
      </autoSortScope>
    </pivotField>
    <pivotField axis="axisPage"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2"/>
    <field x="11"/>
  </rowFields>
  <rowItems count="39">
    <i>
      <x v="1"/>
    </i>
    <i r="1">
      <x v="7"/>
    </i>
    <i r="1">
      <x v="8"/>
    </i>
    <i r="1">
      <x v="9"/>
    </i>
    <i r="1">
      <x v="10"/>
    </i>
    <i r="1">
      <x v="11"/>
    </i>
    <i r="1">
      <x v="12"/>
    </i>
    <i>
      <x v="2"/>
    </i>
    <i r="1">
      <x v="1"/>
    </i>
    <i r="1">
      <x v="2"/>
    </i>
    <i r="1">
      <x v="3"/>
    </i>
    <i r="1">
      <x v="4"/>
    </i>
    <i r="1">
      <x v="6"/>
    </i>
    <i r="1">
      <x v="7"/>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t="grand">
      <x/>
    </i>
  </rowItems>
  <colFields count="1">
    <field x="-2"/>
  </colFields>
  <colItems count="2">
    <i>
      <x/>
    </i>
    <i i="1">
      <x v="1"/>
    </i>
  </colItems>
  <pageFields count="1">
    <pageField fld="10" item="0" hier="-1"/>
  </pageFields>
  <dataFields count="2">
    <dataField name="Expense" fld="7" baseField="0" baseItem="0"/>
    <dataField name="Sum of Income/Expense" fld="7" baseField="0" baseItem="0" numFmtId="167"/>
  </dataFields>
  <formats count="4">
    <format dxfId="31">
      <pivotArea outline="0" collapsedLevelsAreSubtotals="1" fieldPosition="0">
        <references count="1">
          <reference field="4294967294" count="1" selected="0">
            <x v="1"/>
          </reference>
        </references>
      </pivotArea>
    </format>
    <format dxfId="30">
      <pivotArea dataOnly="0" labelOnly="1" outline="0" fieldPosition="0">
        <references count="1">
          <reference field="4294967294" count="1">
            <x v="1"/>
          </reference>
        </references>
      </pivotArea>
    </format>
    <format dxfId="29">
      <pivotArea dataOnly="0" labelOnly="1" outline="0" fieldPosition="0">
        <references count="1">
          <reference field="4294967294" count="2">
            <x v="0"/>
            <x v="1"/>
          </reference>
        </references>
      </pivotArea>
    </format>
    <format dxfId="28">
      <pivotArea dataOnly="0" labelOnly="1" outline="0" fieldPosition="0">
        <references count="1">
          <reference field="4294967294" count="2">
            <x v="0"/>
            <x v="1"/>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11" count="0" selected="0"/>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65FC88-7FC3-4520-8F52-B10E5A6F6821}" name="PivotTable4"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B20:D57"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showAll="0"/>
    <pivotField showAll="0" sortType="descending">
      <autoSortScope>
        <pivotArea dataOnly="0" outline="0" fieldPosition="0">
          <references count="1">
            <reference field="4294967294" count="1" selected="0">
              <x v="1"/>
            </reference>
          </references>
        </pivotArea>
      </autoSortScope>
    </pivotField>
    <pivotField axis="axisPage"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2"/>
    <field x="11"/>
  </rowFields>
  <rowItems count="37">
    <i>
      <x v="1"/>
    </i>
    <i r="1">
      <x v="7"/>
    </i>
    <i r="1">
      <x v="8"/>
    </i>
    <i r="1">
      <x v="9"/>
    </i>
    <i r="1">
      <x v="10"/>
    </i>
    <i r="1">
      <x v="12"/>
    </i>
    <i>
      <x v="2"/>
    </i>
    <i r="1">
      <x v="1"/>
    </i>
    <i r="1">
      <x v="2"/>
    </i>
    <i r="1">
      <x v="3"/>
    </i>
    <i r="1">
      <x v="4"/>
    </i>
    <i r="1">
      <x v="6"/>
    </i>
    <i r="1">
      <x v="7"/>
    </i>
    <i r="1">
      <x v="9"/>
    </i>
    <i r="1">
      <x v="10"/>
    </i>
    <i r="1">
      <x v="12"/>
    </i>
    <i>
      <x v="3"/>
    </i>
    <i r="1">
      <x v="1"/>
    </i>
    <i r="1">
      <x v="2"/>
    </i>
    <i r="1">
      <x v="3"/>
    </i>
    <i r="1">
      <x v="4"/>
    </i>
    <i r="1">
      <x v="5"/>
    </i>
    <i r="1">
      <x v="6"/>
    </i>
    <i r="1">
      <x v="7"/>
    </i>
    <i r="1">
      <x v="8"/>
    </i>
    <i r="1">
      <x v="9"/>
    </i>
    <i r="1">
      <x v="10"/>
    </i>
    <i r="1">
      <x v="11"/>
    </i>
    <i r="1">
      <x v="12"/>
    </i>
    <i>
      <x v="4"/>
    </i>
    <i r="1">
      <x v="1"/>
    </i>
    <i r="1">
      <x v="2"/>
    </i>
    <i r="1">
      <x v="3"/>
    </i>
    <i r="1">
      <x v="4"/>
    </i>
    <i r="1">
      <x v="5"/>
    </i>
    <i r="1">
      <x v="6"/>
    </i>
    <i t="grand">
      <x/>
    </i>
  </rowItems>
  <colFields count="1">
    <field x="-2"/>
  </colFields>
  <colItems count="2">
    <i>
      <x/>
    </i>
    <i i="1">
      <x v="1"/>
    </i>
  </colItems>
  <pageFields count="1">
    <pageField fld="10" item="1" hier="-1"/>
  </pageFields>
  <dataFields count="2">
    <dataField name="Income" fld="7" baseField="0" baseItem="0"/>
    <dataField name="Sum of Income/Expense" fld="7" baseField="0" baseItem="0" numFmtId="167"/>
  </dataFields>
  <formats count="4">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 dxfId="33">
      <pivotArea dataOnly="0" labelOnly="1" outline="0" fieldPosition="0">
        <references count="1">
          <reference field="4294967294" count="2">
            <x v="0"/>
            <x v="1"/>
          </reference>
        </references>
      </pivotArea>
    </format>
    <format dxfId="32">
      <pivotArea dataOnly="0" labelOnly="1" outline="0" fieldPosition="0">
        <references count="1">
          <reference field="4294967294" count="2">
            <x v="0"/>
            <x v="1"/>
          </reference>
        </references>
      </pivotArea>
    </format>
  </formats>
  <conditionalFormats count="1">
    <conditionalFormat scope="field" priority="3">
      <pivotAreas count="1">
        <pivotArea outline="0" collapsedLevelsAreSubtotals="1" fieldPosition="0">
          <references count="2">
            <reference field="4294967294" count="1" selected="0">
              <x v="1"/>
            </reference>
            <reference field="11" count="0" selected="0"/>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09D272-C974-4EB8-A565-11AB94C9BB1E}" name="PivotTable3"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O6:R42"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axis="axisRow" showAll="0" sortType="ascending">
      <items count="32">
        <item x="19"/>
        <item x="0"/>
        <item x="7"/>
        <item x="16"/>
        <item x="2"/>
        <item x="20"/>
        <item x="3"/>
        <item x="22"/>
        <item x="5"/>
        <item x="13"/>
        <item x="15"/>
        <item x="17"/>
        <item x="4"/>
        <item x="18"/>
        <item x="9"/>
        <item x="14"/>
        <item x="12"/>
        <item x="21"/>
        <item x="1"/>
        <item x="24"/>
        <item x="23"/>
        <item x="10"/>
        <item x="11"/>
        <item x="6"/>
        <item x="8"/>
        <item x="25"/>
        <item x="26"/>
        <item x="27"/>
        <item x="28"/>
        <item x="29"/>
        <item x="30"/>
        <item t="default"/>
      </items>
      <autoSortScope>
        <pivotArea dataOnly="0" outline="0" fieldPosition="0">
          <references count="1">
            <reference field="4294967294" count="1" selected="0">
              <x v="0"/>
            </reference>
          </references>
        </pivotArea>
      </autoSortScope>
    </pivotField>
    <pivotField axis="axisRow" showAll="0" sortType="ascending">
      <items count="15">
        <item x="4"/>
        <item x="3"/>
        <item x="9"/>
        <item x="0"/>
        <item x="2"/>
        <item x="6"/>
        <item x="7"/>
        <item x="1"/>
        <item x="8"/>
        <item x="5"/>
        <item x="10"/>
        <item x="11"/>
        <item x="12"/>
        <item x="1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9"/>
    <field x="8"/>
  </rowFields>
  <rowItems count="36">
    <i>
      <x/>
    </i>
    <i r="1">
      <x v="24"/>
    </i>
    <i r="1">
      <x v="3"/>
    </i>
    <i r="1">
      <x v="19"/>
    </i>
    <i r="1">
      <x v="15"/>
    </i>
    <i r="1">
      <x v="23"/>
    </i>
    <i r="1">
      <x v="22"/>
    </i>
    <i r="1">
      <x v="20"/>
    </i>
    <i>
      <x v="1"/>
    </i>
    <i r="1">
      <x v="27"/>
    </i>
    <i r="1">
      <x v="8"/>
    </i>
    <i r="1">
      <x v="2"/>
    </i>
    <i>
      <x v="4"/>
    </i>
    <i r="1">
      <x v="12"/>
    </i>
    <i r="1">
      <x v="6"/>
    </i>
    <i>
      <x v="11"/>
    </i>
    <i r="1">
      <x v="26"/>
    </i>
    <i>
      <x v="12"/>
    </i>
    <i r="1">
      <x v="28"/>
    </i>
    <i>
      <x v="7"/>
    </i>
    <i r="1">
      <x/>
    </i>
    <i r="1">
      <x v="14"/>
    </i>
    <i r="1">
      <x v="7"/>
    </i>
    <i r="1">
      <x v="18"/>
    </i>
    <i r="1">
      <x v="16"/>
    </i>
    <i>
      <x v="9"/>
    </i>
    <i r="1">
      <x v="9"/>
    </i>
    <i r="1">
      <x v="30"/>
    </i>
    <i r="1">
      <x v="10"/>
    </i>
    <i>
      <x v="8"/>
    </i>
    <i r="1">
      <x v="5"/>
    </i>
    <i>
      <x v="5"/>
    </i>
    <i r="1">
      <x v="11"/>
    </i>
    <i>
      <x v="6"/>
    </i>
    <i r="1">
      <x v="13"/>
    </i>
    <i t="grand">
      <x/>
    </i>
  </rowItems>
  <colFields count="1">
    <field x="-2"/>
  </colFields>
  <colItems count="3">
    <i>
      <x/>
    </i>
    <i i="1">
      <x v="1"/>
    </i>
    <i i="2">
      <x v="2"/>
    </i>
  </colItems>
  <pageFields count="1">
    <pageField fld="10" item="0" hier="-1"/>
  </pageFields>
  <dataFields count="3">
    <dataField name="Expense" fld="7" baseField="0" baseItem="0"/>
    <dataField name="% of Total" fld="7" showDataAs="percentOfTotal" baseField="0" baseItem="0" numFmtId="10"/>
    <dataField name="Sum of Income/Expense" fld="7" baseField="0" baseItem="0" numFmtId="167"/>
  </dataFields>
  <formats count="5">
    <format dxfId="0">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 dxfId="2">
      <pivotArea outline="0" fieldPosition="0">
        <references count="1">
          <reference field="4294967294" count="1">
            <x v="1"/>
          </reference>
        </references>
      </pivotArea>
    </format>
    <format dxfId="3">
      <pivotArea dataOnly="0" labelOnly="1" outline="0" fieldPosition="0">
        <references count="1">
          <reference field="4294967294" count="3">
            <x v="0"/>
            <x v="1"/>
            <x v="2"/>
          </reference>
        </references>
      </pivotArea>
    </format>
    <format dxfId="4">
      <pivotArea dataOnly="0" labelOnly="1" outline="0" fieldPosition="0">
        <references count="1">
          <reference field="4294967294" count="3">
            <x v="0"/>
            <x v="1"/>
            <x v="2"/>
          </reference>
        </references>
      </pivotArea>
    </format>
  </formats>
  <conditionalFormats count="1">
    <conditionalFormat scope="field" priority="5">
      <pivotAreas count="1">
        <pivotArea outline="0" collapsedLevelsAreSubtotals="1" fieldPosition="0">
          <references count="2">
            <reference field="4294967294" count="1" selected="0">
              <x v="2"/>
            </reference>
            <reference field="8" count="0" selected="0"/>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6F4320-7A53-41BC-B819-13E2FB173E4D}" name="PivotTable2"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J6:M17" firstHeaderRow="0" firstDataRow="1" firstDataCol="1" rowPageCount="1" colPageCount="1"/>
  <pivotFields count="13">
    <pivotField showAll="0"/>
    <pivotField numFmtId="164"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showAll="0"/>
    <pivotField showAll="0"/>
    <pivotField numFmtId="166" showAll="0"/>
    <pivotField showAll="0"/>
    <pivotField dataField="1" showAll="0"/>
    <pivotField showAll="0"/>
    <pivotField axis="axisRow" showAll="0" sortType="ascending">
      <items count="15">
        <item x="4"/>
        <item x="3"/>
        <item x="9"/>
        <item x="0"/>
        <item x="2"/>
        <item x="6"/>
        <item x="7"/>
        <item x="1"/>
        <item x="8"/>
        <item x="5"/>
        <item x="10"/>
        <item x="11"/>
        <item x="12"/>
        <item x="13"/>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1">
    <i>
      <x/>
    </i>
    <i>
      <x v="1"/>
    </i>
    <i>
      <x v="4"/>
    </i>
    <i>
      <x v="11"/>
    </i>
    <i>
      <x v="12"/>
    </i>
    <i>
      <x v="7"/>
    </i>
    <i>
      <x v="9"/>
    </i>
    <i>
      <x v="8"/>
    </i>
    <i>
      <x v="5"/>
    </i>
    <i>
      <x v="6"/>
    </i>
    <i t="grand">
      <x/>
    </i>
  </rowItems>
  <colFields count="1">
    <field x="-2"/>
  </colFields>
  <colItems count="3">
    <i>
      <x/>
    </i>
    <i i="1">
      <x v="1"/>
    </i>
    <i i="2">
      <x v="2"/>
    </i>
  </colItems>
  <pageFields count="1">
    <pageField fld="10" item="0" hier="-1"/>
  </pageFields>
  <dataFields count="3">
    <dataField name="Expense" fld="7" baseField="0" baseItem="0"/>
    <dataField name="% of Total" fld="7" showDataAs="percentOfTotal" baseField="0" baseItem="0" numFmtId="10"/>
    <dataField name="Sum of Income/Expense" fld="7" baseField="0" baseItem="0" numFmtId="167"/>
  </dataFields>
  <formats count="5">
    <format dxfId="5">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 dxfId="7">
      <pivotArea outline="0" fieldPosition="0">
        <references count="1">
          <reference field="4294967294" count="1">
            <x v="1"/>
          </reference>
        </references>
      </pivotArea>
    </format>
    <format dxfId="8">
      <pivotArea dataOnly="0" labelOnly="1" outline="0" fieldPosition="0">
        <references count="1">
          <reference field="4294967294" count="3">
            <x v="0"/>
            <x v="1"/>
            <x v="2"/>
          </reference>
        </references>
      </pivotArea>
    </format>
    <format dxfId="9">
      <pivotArea dataOnly="0" labelOnly="1" outline="0" fieldPosition="0">
        <references count="1">
          <reference field="4294967294" count="3">
            <x v="0"/>
            <x v="1"/>
            <x v="2"/>
          </reference>
        </references>
      </pivotArea>
    </format>
  </formats>
  <conditionalFormats count="1">
    <conditionalFormat scope="field" priority="7">
      <pivotAreas count="1">
        <pivotArea outline="0" collapsedLevelsAreSubtotals="1" fieldPosition="0">
          <references count="2">
            <reference field="4294967294" count="1" selected="0">
              <x v="2"/>
            </reference>
            <reference field="9" count="0" selected="0"/>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238013A-611C-4EE0-85AE-ECBA7C963D28}" sourceName="Months (Date)">
  <pivotTables>
    <pivotTable tabId="3" name="PivotTable1"/>
    <pivotTable tabId="3" name="PivotTable2"/>
    <pivotTable tabId="3" name="PivotTable3"/>
  </pivotTables>
  <data>
    <tabular pivotCacheId="155548335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9BFAE65-988F-46DB-AC69-0F5036964041}" sourceName="Years (Date)">
  <pivotTables>
    <pivotTable tabId="3" name="PivotTable1"/>
    <pivotTable tabId="3" name="PivotTable2"/>
    <pivotTable tabId="3" name="PivotTable3"/>
    <pivotTable tabId="3" name="PivotTable4"/>
    <pivotTable tabId="3" name="PivotTable5"/>
    <pivotTable tabId="3" name="PivotTable6"/>
  </pivotTables>
  <data>
    <tabular pivotCacheId="155548335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0638441-D987-44A4-AD55-F5579E082789}" cache="Slicer_Months__Date" caption="Months " columnCount="2" style="SlicerStyleLight3" rowHeight="234950"/>
  <slicer name="Years (Date)" xr10:uid="{B5796179-CF89-4F17-9E47-19EC121BF63F}" cache="Slicer_Years__Date" caption="Years "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3:K343">
  <autoFilter ref="A3:K343" xr:uid="{00000000-0009-0000-0100-000004000000}"/>
  <sortState xmlns:xlrd2="http://schemas.microsoft.com/office/spreadsheetml/2017/richdata2" ref="A4:K175">
    <sortCondition ref="B3:B175"/>
  </sortState>
  <tableColumns count="11">
    <tableColumn id="1" xr3:uid="{00000000-0010-0000-0000-000001000000}" name="Accounts" totalsRowLabel="Total"/>
    <tableColumn id="2" xr3:uid="{00000000-0010-0000-0000-000002000000}" name="Date" totalsRowDxfId="23"/>
    <tableColumn id="3" xr3:uid="{00000000-0010-0000-0000-000003000000}" name="Description" totalsRowDxfId="22"/>
    <tableColumn id="4" xr3:uid="{00000000-0010-0000-0000-000004000000}" name="Debit (₹)"/>
    <tableColumn id="5" xr3:uid="{00000000-0010-0000-0000-000005000000}" name="Credit (₹)"/>
    <tableColumn id="6" xr3:uid="{00000000-0010-0000-0000-000006000000}" name="Balance (₹)" totalsRowDxfId="21"/>
    <tableColumn id="7" xr3:uid="{00000000-0010-0000-0000-000007000000}" name="Remarks" totalsRowDxfId="20"/>
    <tableColumn id="8" xr3:uid="{00000000-0010-0000-0000-000008000000}" name="Income/Expense" dataDxfId="19">
      <calculatedColumnFormula>Table4[[#This Row],[Credit (₹)]]-Table4[[#This Row],[Debit (₹)]]</calculatedColumnFormula>
    </tableColumn>
    <tableColumn id="9" xr3:uid="{00000000-0010-0000-0000-000009000000}" name="Subcategory"/>
    <tableColumn id="10" xr3:uid="{00000000-0010-0000-0000-00000A000000}" name="Category" dataDxfId="18">
      <calculatedColumnFormula>_xlfn.XLOOKUP(Table4[[#This Row],[Subcategory]],Categories[Subcategory],Categories[Category],"Add Subcategory")</calculatedColumnFormula>
    </tableColumn>
    <tableColumn id="11" xr3:uid="{00000000-0010-0000-0000-00000B000000}" name="Category Type" totalsRowFunction="count" dataDxfId="17">
      <calculatedColumnFormula>_xlfn.XLOOKUP(Table4[[#This Row],[Subcategory]],Categories[Subcategory],Categories[Categorys Type],"Add Subcategory")</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ies" displayName="Categories" ref="A3:C37" totalsRowShown="0" headerRowDxfId="16">
  <autoFilter ref="A3:C37" xr:uid="{00000000-0009-0000-0100-000003000000}"/>
  <tableColumns count="3">
    <tableColumn id="1" xr3:uid="{00000000-0010-0000-0100-000001000000}" name="Category"/>
    <tableColumn id="2" xr3:uid="{00000000-0010-0000-0100-000002000000}" name="Subcategory" dataDxfId="15" dataCellStyle="Normal 2"/>
    <tableColumn id="3" xr3:uid="{00000000-0010-0000-0100-000003000000}" name="Categorys Type" dataDxfId="14" dataCellStyle="Normal 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59"/>
  <sheetViews>
    <sheetView tabSelected="1" zoomScale="68" workbookViewId="0"/>
  </sheetViews>
  <sheetFormatPr defaultRowHeight="14.4" x14ac:dyDescent="0.3"/>
  <cols>
    <col min="1" max="1" width="5.77734375" customWidth="1"/>
    <col min="2" max="2" width="33" bestFit="1" customWidth="1"/>
    <col min="3" max="3" width="11.44140625" bestFit="1" customWidth="1"/>
    <col min="4" max="4" width="8.33203125" customWidth="1"/>
    <col min="5" max="5" width="8.77734375" customWidth="1"/>
    <col min="6" max="6" width="33" bestFit="1" customWidth="1"/>
    <col min="7" max="7" width="11.44140625" bestFit="1" customWidth="1"/>
    <col min="8" max="8" width="15.77734375" customWidth="1"/>
    <col min="9" max="9" width="5.77734375" customWidth="1"/>
    <col min="10" max="10" width="31.33203125" bestFit="1" customWidth="1"/>
    <col min="11" max="11" width="22.5546875" bestFit="1" customWidth="1"/>
    <col min="12" max="12" width="19.33203125" bestFit="1" customWidth="1"/>
    <col min="13" max="13" width="15.77734375" customWidth="1"/>
    <col min="14" max="14" width="5.77734375" customWidth="1"/>
    <col min="15" max="15" width="31.109375" bestFit="1" customWidth="1"/>
    <col min="16" max="16" width="13.44140625" bestFit="1" customWidth="1"/>
    <col min="17" max="17" width="13.109375" bestFit="1" customWidth="1"/>
    <col min="18" max="18" width="15.77734375" customWidth="1"/>
  </cols>
  <sheetData>
    <row r="1" spans="2:18" ht="4.2" customHeight="1" x14ac:dyDescent="0.3">
      <c r="B1" s="24"/>
      <c r="C1" s="24"/>
      <c r="D1" s="24"/>
      <c r="E1" s="24"/>
      <c r="F1" s="24"/>
      <c r="G1" s="24"/>
      <c r="H1" s="24"/>
      <c r="I1" s="24"/>
      <c r="J1" s="24"/>
      <c r="K1" s="24"/>
      <c r="L1" s="24"/>
      <c r="M1" s="24"/>
      <c r="N1" s="24"/>
      <c r="O1" s="24"/>
      <c r="P1" s="24"/>
      <c r="Q1" s="24"/>
      <c r="R1" s="24"/>
    </row>
    <row r="2" spans="2:18" x14ac:dyDescent="0.3">
      <c r="B2" s="24"/>
      <c r="C2" s="24"/>
      <c r="D2" s="24"/>
      <c r="E2" s="24"/>
      <c r="F2" s="24"/>
      <c r="G2" s="24"/>
      <c r="H2" s="24"/>
      <c r="I2" s="24"/>
      <c r="J2" s="24"/>
      <c r="K2" s="24"/>
      <c r="L2" s="24"/>
      <c r="M2" s="24"/>
      <c r="N2" s="24"/>
      <c r="O2" s="24"/>
      <c r="P2" s="24"/>
      <c r="Q2" s="24"/>
      <c r="R2" s="24"/>
    </row>
    <row r="3" spans="2:18" ht="32.4" thickBot="1" x14ac:dyDescent="0.55000000000000004">
      <c r="B3" s="29" t="s">
        <v>282</v>
      </c>
      <c r="C3" s="25"/>
      <c r="D3" s="25"/>
      <c r="E3" s="25"/>
      <c r="F3" s="28"/>
      <c r="G3" s="25"/>
      <c r="H3" s="25"/>
      <c r="I3" s="25"/>
      <c r="J3" s="26">
        <f>GETPIVOTDATA("Income",$F$6)</f>
        <v>1278595</v>
      </c>
      <c r="K3" s="27">
        <f>GETPIVOTDATA("Expense",$J$6)</f>
        <v>-1211676</v>
      </c>
      <c r="L3" s="26">
        <f>J3+K3</f>
        <v>66919</v>
      </c>
      <c r="M3" s="25"/>
      <c r="N3" s="25"/>
      <c r="O3" s="25"/>
      <c r="P3" s="25"/>
      <c r="Q3" s="25"/>
      <c r="R3" s="25"/>
    </row>
    <row r="4" spans="2:18" ht="15" thickTop="1" x14ac:dyDescent="0.3">
      <c r="F4" s="15" t="s">
        <v>262</v>
      </c>
      <c r="G4" t="s">
        <v>41</v>
      </c>
      <c r="J4" s="15" t="s">
        <v>262</v>
      </c>
      <c r="K4" t="s">
        <v>24</v>
      </c>
      <c r="O4" s="15" t="s">
        <v>262</v>
      </c>
      <c r="P4" t="s">
        <v>24</v>
      </c>
    </row>
    <row r="6" spans="2:18" x14ac:dyDescent="0.3">
      <c r="G6" s="22" t="s">
        <v>41</v>
      </c>
      <c r="H6" s="23" t="s">
        <v>265</v>
      </c>
      <c r="I6" s="22"/>
      <c r="K6" s="22" t="s">
        <v>24</v>
      </c>
      <c r="L6" s="22" t="s">
        <v>266</v>
      </c>
      <c r="M6" s="23" t="s">
        <v>265</v>
      </c>
      <c r="P6" s="22" t="s">
        <v>24</v>
      </c>
      <c r="Q6" s="22" t="s">
        <v>266</v>
      </c>
      <c r="R6" s="23" t="s">
        <v>265</v>
      </c>
    </row>
    <row r="7" spans="2:18" x14ac:dyDescent="0.3">
      <c r="F7" s="16" t="s">
        <v>408</v>
      </c>
      <c r="G7" s="18">
        <v>640000</v>
      </c>
      <c r="H7" s="20">
        <v>640000</v>
      </c>
      <c r="J7" s="16" t="s">
        <v>25</v>
      </c>
      <c r="K7" s="18">
        <v>-544090</v>
      </c>
      <c r="L7" s="21">
        <v>0.44903918209158222</v>
      </c>
      <c r="M7" s="20">
        <v>-544090</v>
      </c>
      <c r="O7" s="16" t="s">
        <v>25</v>
      </c>
      <c r="P7" s="18">
        <v>-544090</v>
      </c>
      <c r="Q7" s="21">
        <v>0.44903918209158222</v>
      </c>
      <c r="R7" s="20">
        <v>-544090</v>
      </c>
    </row>
    <row r="8" spans="2:18" x14ac:dyDescent="0.3">
      <c r="F8" s="17" t="s">
        <v>418</v>
      </c>
      <c r="G8" s="18">
        <v>640000</v>
      </c>
      <c r="H8" s="20">
        <v>640000</v>
      </c>
      <c r="J8" s="16" t="s">
        <v>26</v>
      </c>
      <c r="K8" s="18">
        <v>-278590</v>
      </c>
      <c r="L8" s="21">
        <v>0.22992120005678085</v>
      </c>
      <c r="M8" s="20">
        <v>-278590</v>
      </c>
      <c r="O8" s="17" t="s">
        <v>0</v>
      </c>
      <c r="P8" s="18">
        <v>-480000</v>
      </c>
      <c r="Q8" s="21">
        <v>0.3961455042437087</v>
      </c>
      <c r="R8" s="20">
        <v>-480000</v>
      </c>
    </row>
    <row r="9" spans="2:18" x14ac:dyDescent="0.3">
      <c r="F9" s="16" t="s">
        <v>40</v>
      </c>
      <c r="G9" s="18">
        <v>543600</v>
      </c>
      <c r="H9" s="20">
        <v>543600</v>
      </c>
      <c r="J9" s="16" t="s">
        <v>27</v>
      </c>
      <c r="K9" s="18">
        <v>-130473</v>
      </c>
      <c r="L9" s="21">
        <v>0.1076797757816446</v>
      </c>
      <c r="M9" s="20">
        <v>-130473</v>
      </c>
      <c r="O9" s="17" t="s">
        <v>1</v>
      </c>
      <c r="P9" s="18">
        <v>-35450</v>
      </c>
      <c r="Q9" s="21">
        <v>2.9256996094665571E-2</v>
      </c>
      <c r="R9" s="20">
        <v>-35450</v>
      </c>
    </row>
    <row r="10" spans="2:18" x14ac:dyDescent="0.3">
      <c r="F10" s="17" t="s">
        <v>35</v>
      </c>
      <c r="G10" s="18">
        <v>373600</v>
      </c>
      <c r="H10" s="20">
        <v>373600</v>
      </c>
      <c r="J10" s="16" t="s">
        <v>166</v>
      </c>
      <c r="K10" s="18">
        <v>-122000</v>
      </c>
      <c r="L10" s="21">
        <v>0.1006869823286093</v>
      </c>
      <c r="M10" s="20">
        <v>-122000</v>
      </c>
      <c r="O10" s="17" t="s">
        <v>18</v>
      </c>
      <c r="P10" s="18">
        <v>-11700</v>
      </c>
      <c r="Q10" s="21">
        <v>9.6560466659403998E-3</v>
      </c>
      <c r="R10" s="20">
        <v>-11700</v>
      </c>
    </row>
    <row r="11" spans="2:18" x14ac:dyDescent="0.3">
      <c r="F11" s="17" t="s">
        <v>34</v>
      </c>
      <c r="G11" s="18">
        <v>135000</v>
      </c>
      <c r="H11" s="20">
        <v>135000</v>
      </c>
      <c r="J11" s="16" t="s">
        <v>411</v>
      </c>
      <c r="K11" s="18">
        <v>-46500</v>
      </c>
      <c r="L11" s="21">
        <v>3.8376595723609283E-2</v>
      </c>
      <c r="M11" s="20">
        <v>-46500</v>
      </c>
      <c r="O11" s="17" t="s">
        <v>9</v>
      </c>
      <c r="P11" s="18">
        <v>-8996</v>
      </c>
      <c r="Q11" s="21">
        <v>7.424426992034174E-3</v>
      </c>
      <c r="R11" s="20">
        <v>-8996</v>
      </c>
    </row>
    <row r="12" spans="2:18" x14ac:dyDescent="0.3">
      <c r="F12" s="17" t="s">
        <v>36</v>
      </c>
      <c r="G12" s="18">
        <v>35000</v>
      </c>
      <c r="H12" s="20">
        <v>35000</v>
      </c>
      <c r="J12" s="16" t="s">
        <v>29</v>
      </c>
      <c r="K12" s="18">
        <v>-38396</v>
      </c>
      <c r="L12" s="21">
        <v>3.1688339126961333E-2</v>
      </c>
      <c r="M12" s="20">
        <v>-38396</v>
      </c>
      <c r="O12" s="17" t="s">
        <v>7</v>
      </c>
      <c r="P12" s="18">
        <v>-5696</v>
      </c>
      <c r="Q12" s="21">
        <v>4.7009266503586769E-3</v>
      </c>
      <c r="R12" s="20">
        <v>-5696</v>
      </c>
    </row>
    <row r="13" spans="2:18" x14ac:dyDescent="0.3">
      <c r="F13" s="16" t="s">
        <v>39</v>
      </c>
      <c r="G13" s="18">
        <v>94000</v>
      </c>
      <c r="H13" s="20">
        <v>94000</v>
      </c>
      <c r="J13" s="16" t="s">
        <v>28</v>
      </c>
      <c r="K13" s="18">
        <v>-33400</v>
      </c>
      <c r="L13" s="21">
        <v>2.7565124670291399E-2</v>
      </c>
      <c r="M13" s="20">
        <v>-33400</v>
      </c>
      <c r="O13" s="17" t="s">
        <v>8</v>
      </c>
      <c r="P13" s="18">
        <v>-1449</v>
      </c>
      <c r="Q13" s="21">
        <v>1.1958642409356957E-3</v>
      </c>
      <c r="R13" s="20">
        <v>-1449</v>
      </c>
    </row>
    <row r="14" spans="2:18" x14ac:dyDescent="0.3">
      <c r="F14" s="17" t="s">
        <v>37</v>
      </c>
      <c r="G14" s="18">
        <v>94000</v>
      </c>
      <c r="H14" s="20">
        <v>94000</v>
      </c>
      <c r="J14" s="16" t="s">
        <v>31</v>
      </c>
      <c r="K14" s="18">
        <v>-10999</v>
      </c>
      <c r="L14" s="21">
        <v>9.0775091691178162E-3</v>
      </c>
      <c r="M14" s="20">
        <v>-10999</v>
      </c>
      <c r="O14" s="17" t="s">
        <v>19</v>
      </c>
      <c r="P14" s="18">
        <v>-799</v>
      </c>
      <c r="Q14" s="21">
        <v>6.5941720393900677E-4</v>
      </c>
      <c r="R14" s="20">
        <v>-799</v>
      </c>
    </row>
    <row r="15" spans="2:18" x14ac:dyDescent="0.3">
      <c r="F15" s="16" t="s">
        <v>42</v>
      </c>
      <c r="G15" s="18">
        <v>995</v>
      </c>
      <c r="H15" s="20">
        <v>995</v>
      </c>
      <c r="J15" s="16" t="s">
        <v>30</v>
      </c>
      <c r="K15" s="18">
        <v>-4029</v>
      </c>
      <c r="L15" s="21">
        <v>3.3251463262456301E-3</v>
      </c>
      <c r="M15" s="20">
        <v>-4029</v>
      </c>
      <c r="O15" s="16" t="s">
        <v>26</v>
      </c>
      <c r="P15" s="18">
        <v>-278590</v>
      </c>
      <c r="Q15" s="21">
        <v>0.22992120005678085</v>
      </c>
      <c r="R15" s="20">
        <v>-278590</v>
      </c>
    </row>
    <row r="16" spans="2:18" x14ac:dyDescent="0.3">
      <c r="F16" s="17" t="s">
        <v>38</v>
      </c>
      <c r="G16" s="18">
        <v>995</v>
      </c>
      <c r="H16" s="20">
        <v>995</v>
      </c>
      <c r="J16" s="16" t="s">
        <v>32</v>
      </c>
      <c r="K16" s="18">
        <v>-3199</v>
      </c>
      <c r="L16" s="21">
        <v>2.6401447251575504E-3</v>
      </c>
      <c r="M16" s="20">
        <v>-3199</v>
      </c>
      <c r="O16" s="17" t="s">
        <v>413</v>
      </c>
      <c r="P16" s="18">
        <v>-144000</v>
      </c>
      <c r="Q16" s="21">
        <v>0.11884365127311261</v>
      </c>
      <c r="R16" s="20">
        <v>-144000</v>
      </c>
    </row>
    <row r="17" spans="2:18" x14ac:dyDescent="0.3">
      <c r="F17" s="16" t="s">
        <v>264</v>
      </c>
      <c r="G17" s="18">
        <v>1278595</v>
      </c>
      <c r="H17" s="20">
        <v>1278595</v>
      </c>
      <c r="J17" s="16" t="s">
        <v>264</v>
      </c>
      <c r="K17" s="18">
        <v>-1211676</v>
      </c>
      <c r="L17" s="21">
        <v>1</v>
      </c>
      <c r="M17" s="20">
        <v>-1211676</v>
      </c>
      <c r="O17" s="17" t="s">
        <v>3</v>
      </c>
      <c r="P17" s="18">
        <v>-120000</v>
      </c>
      <c r="Q17" s="21">
        <v>9.9036376060927175E-2</v>
      </c>
      <c r="R17" s="20">
        <v>-120000</v>
      </c>
    </row>
    <row r="18" spans="2:18" x14ac:dyDescent="0.3">
      <c r="B18" s="15" t="s">
        <v>262</v>
      </c>
      <c r="C18" t="s">
        <v>41</v>
      </c>
      <c r="F18" s="15" t="s">
        <v>262</v>
      </c>
      <c r="G18" t="s">
        <v>24</v>
      </c>
      <c r="J18" s="15" t="s">
        <v>262</v>
      </c>
      <c r="K18" t="s">
        <v>263</v>
      </c>
      <c r="O18" s="17" t="s">
        <v>4</v>
      </c>
      <c r="P18" s="18">
        <v>-14590</v>
      </c>
      <c r="Q18" s="21">
        <v>1.2041172722741062E-2</v>
      </c>
      <c r="R18" s="20">
        <v>-14590</v>
      </c>
    </row>
    <row r="19" spans="2:18" x14ac:dyDescent="0.3">
      <c r="O19" s="16" t="s">
        <v>27</v>
      </c>
      <c r="P19" s="18">
        <v>-130473</v>
      </c>
      <c r="Q19" s="21">
        <v>0.1076797757816446</v>
      </c>
      <c r="R19" s="20">
        <v>-130473</v>
      </c>
    </row>
    <row r="20" spans="2:18" x14ac:dyDescent="0.3">
      <c r="C20" s="22" t="s">
        <v>41</v>
      </c>
      <c r="D20" s="23" t="s">
        <v>265</v>
      </c>
      <c r="G20" s="22" t="s">
        <v>24</v>
      </c>
      <c r="H20" s="23" t="s">
        <v>265</v>
      </c>
      <c r="K20" s="22" t="s">
        <v>283</v>
      </c>
      <c r="L20" s="23" t="s">
        <v>265</v>
      </c>
      <c r="O20" s="17" t="s">
        <v>5</v>
      </c>
      <c r="P20" s="18">
        <v>-90350</v>
      </c>
      <c r="Q20" s="21">
        <v>7.4566138142539748E-2</v>
      </c>
      <c r="R20" s="20">
        <v>-90350</v>
      </c>
    </row>
    <row r="21" spans="2:18" x14ac:dyDescent="0.3">
      <c r="B21" s="16" t="s">
        <v>267</v>
      </c>
      <c r="C21" s="18">
        <v>175000</v>
      </c>
      <c r="D21" s="20">
        <v>175000</v>
      </c>
      <c r="F21" s="16" t="s">
        <v>267</v>
      </c>
      <c r="G21" s="18">
        <v>-217451</v>
      </c>
      <c r="H21" s="20">
        <v>-217451</v>
      </c>
      <c r="J21" s="16" t="s">
        <v>267</v>
      </c>
      <c r="K21" s="18">
        <v>-42451</v>
      </c>
      <c r="L21" s="20">
        <v>-42451</v>
      </c>
      <c r="O21" s="17" t="s">
        <v>6</v>
      </c>
      <c r="P21" s="18">
        <v>-40123</v>
      </c>
      <c r="Q21" s="21">
        <v>3.311363763910484E-2</v>
      </c>
      <c r="R21" s="20">
        <v>-40123</v>
      </c>
    </row>
    <row r="22" spans="2:18" x14ac:dyDescent="0.3">
      <c r="B22" s="17" t="s">
        <v>270</v>
      </c>
      <c r="C22" s="18">
        <v>27000</v>
      </c>
      <c r="D22" s="20">
        <v>27000</v>
      </c>
      <c r="F22" s="17" t="s">
        <v>270</v>
      </c>
      <c r="G22" s="18">
        <v>-22447</v>
      </c>
      <c r="H22" s="20">
        <v>-22447</v>
      </c>
      <c r="J22" s="17" t="s">
        <v>270</v>
      </c>
      <c r="K22" s="18">
        <v>4553</v>
      </c>
      <c r="L22" s="20">
        <v>4553</v>
      </c>
      <c r="O22" s="16" t="s">
        <v>166</v>
      </c>
      <c r="P22" s="18">
        <v>-122000</v>
      </c>
      <c r="Q22" s="21">
        <v>0.1006869823286093</v>
      </c>
      <c r="R22" s="20">
        <v>-122000</v>
      </c>
    </row>
    <row r="23" spans="2:18" x14ac:dyDescent="0.3">
      <c r="B23" s="17" t="s">
        <v>271</v>
      </c>
      <c r="C23" s="18">
        <v>85000</v>
      </c>
      <c r="D23" s="20">
        <v>85000</v>
      </c>
      <c r="F23" s="17" t="s">
        <v>271</v>
      </c>
      <c r="G23" s="18">
        <v>-126599</v>
      </c>
      <c r="H23" s="20">
        <v>-126599</v>
      </c>
      <c r="J23" s="17" t="s">
        <v>271</v>
      </c>
      <c r="K23" s="18">
        <v>-41599</v>
      </c>
      <c r="L23" s="20">
        <v>-41599</v>
      </c>
      <c r="O23" s="17" t="s">
        <v>409</v>
      </c>
      <c r="P23" s="18">
        <v>-122000</v>
      </c>
      <c r="Q23" s="21">
        <v>0.1006869823286093</v>
      </c>
      <c r="R23" s="20">
        <v>-122000</v>
      </c>
    </row>
    <row r="24" spans="2:18" x14ac:dyDescent="0.3">
      <c r="B24" s="17" t="s">
        <v>272</v>
      </c>
      <c r="C24" s="18">
        <v>15000</v>
      </c>
      <c r="D24" s="20">
        <v>15000</v>
      </c>
      <c r="F24" s="17" t="s">
        <v>272</v>
      </c>
      <c r="G24" s="18">
        <v>-8749</v>
      </c>
      <c r="H24" s="20">
        <v>-8749</v>
      </c>
      <c r="J24" s="17" t="s">
        <v>272</v>
      </c>
      <c r="K24" s="18">
        <v>6251</v>
      </c>
      <c r="L24" s="20">
        <v>6251</v>
      </c>
      <c r="O24" s="16" t="s">
        <v>411</v>
      </c>
      <c r="P24" s="18">
        <v>-46500</v>
      </c>
      <c r="Q24" s="21">
        <v>3.8376595723609283E-2</v>
      </c>
      <c r="R24" s="20">
        <v>-46500</v>
      </c>
    </row>
    <row r="25" spans="2:18" x14ac:dyDescent="0.3">
      <c r="B25" s="17" t="s">
        <v>273</v>
      </c>
      <c r="C25" s="18">
        <v>25000</v>
      </c>
      <c r="D25" s="20">
        <v>25000</v>
      </c>
      <c r="F25" s="17" t="s">
        <v>273</v>
      </c>
      <c r="G25" s="18">
        <v>-27198</v>
      </c>
      <c r="H25" s="20">
        <v>-27198</v>
      </c>
      <c r="J25" s="17" t="s">
        <v>273</v>
      </c>
      <c r="K25" s="18">
        <v>-2198</v>
      </c>
      <c r="L25" s="20">
        <v>-2198</v>
      </c>
      <c r="O25" s="17" t="s">
        <v>419</v>
      </c>
      <c r="P25" s="18">
        <v>-46500</v>
      </c>
      <c r="Q25" s="21">
        <v>3.8376595723609283E-2</v>
      </c>
      <c r="R25" s="20">
        <v>-46500</v>
      </c>
    </row>
    <row r="26" spans="2:18" x14ac:dyDescent="0.3">
      <c r="B26" s="17" t="s">
        <v>274</v>
      </c>
      <c r="C26" s="18">
        <v>23000</v>
      </c>
      <c r="D26" s="20">
        <v>23000</v>
      </c>
      <c r="F26" s="17" t="s">
        <v>281</v>
      </c>
      <c r="G26" s="18">
        <v>-15059</v>
      </c>
      <c r="H26" s="20">
        <v>-15059</v>
      </c>
      <c r="J26" s="17" t="s">
        <v>281</v>
      </c>
      <c r="K26" s="18">
        <v>-15059</v>
      </c>
      <c r="L26" s="20">
        <v>-15059</v>
      </c>
      <c r="O26" s="16" t="s">
        <v>29</v>
      </c>
      <c r="P26" s="18">
        <v>-38396</v>
      </c>
      <c r="Q26" s="21">
        <v>3.1688339126961333E-2</v>
      </c>
      <c r="R26" s="20">
        <v>-38396</v>
      </c>
    </row>
    <row r="27" spans="2:18" x14ac:dyDescent="0.3">
      <c r="B27" s="16" t="s">
        <v>268</v>
      </c>
      <c r="C27" s="18">
        <v>323000</v>
      </c>
      <c r="D27" s="20">
        <v>323000</v>
      </c>
      <c r="F27" s="17" t="s">
        <v>274</v>
      </c>
      <c r="G27" s="18">
        <v>-17399</v>
      </c>
      <c r="H27" s="20">
        <v>-17399</v>
      </c>
      <c r="J27" s="17" t="s">
        <v>274</v>
      </c>
      <c r="K27" s="18">
        <v>5601</v>
      </c>
      <c r="L27" s="20">
        <v>5601</v>
      </c>
      <c r="O27" s="17" t="s">
        <v>12</v>
      </c>
      <c r="P27" s="18">
        <v>-10397</v>
      </c>
      <c r="Q27" s="21">
        <v>8.5806766825454982E-3</v>
      </c>
      <c r="R27" s="20">
        <v>-10397</v>
      </c>
    </row>
    <row r="28" spans="2:18" x14ac:dyDescent="0.3">
      <c r="B28" s="17" t="s">
        <v>275</v>
      </c>
      <c r="C28" s="18">
        <v>5000</v>
      </c>
      <c r="D28" s="20">
        <v>5000</v>
      </c>
      <c r="F28" s="16" t="s">
        <v>268</v>
      </c>
      <c r="G28" s="18">
        <v>-384228</v>
      </c>
      <c r="H28" s="20">
        <v>-384228</v>
      </c>
      <c r="J28" s="16" t="s">
        <v>268</v>
      </c>
      <c r="K28" s="18">
        <v>-61228</v>
      </c>
      <c r="L28" s="20">
        <v>-61228</v>
      </c>
      <c r="O28" s="17" t="s">
        <v>14</v>
      </c>
      <c r="P28" s="18">
        <v>-9686</v>
      </c>
      <c r="Q28" s="21">
        <v>7.9938861543845056E-3</v>
      </c>
      <c r="R28" s="20">
        <v>-9686</v>
      </c>
    </row>
    <row r="29" spans="2:18" x14ac:dyDescent="0.3">
      <c r="B29" s="17" t="s">
        <v>276</v>
      </c>
      <c r="C29" s="18">
        <v>27000</v>
      </c>
      <c r="D29" s="20">
        <v>27000</v>
      </c>
      <c r="F29" s="17" t="s">
        <v>275</v>
      </c>
      <c r="G29" s="18">
        <v>-16350</v>
      </c>
      <c r="H29" s="20">
        <v>-16350</v>
      </c>
      <c r="J29" s="17" t="s">
        <v>275</v>
      </c>
      <c r="K29" s="18">
        <v>-11350</v>
      </c>
      <c r="L29" s="20">
        <v>-11350</v>
      </c>
      <c r="O29" s="17" t="s">
        <v>17</v>
      </c>
      <c r="P29" s="18">
        <v>-9000</v>
      </c>
      <c r="Q29" s="21">
        <v>7.4277282045695382E-3</v>
      </c>
      <c r="R29" s="20">
        <v>-9000</v>
      </c>
    </row>
    <row r="30" spans="2:18" x14ac:dyDescent="0.3">
      <c r="B30" s="17" t="s">
        <v>277</v>
      </c>
      <c r="C30" s="18">
        <v>10000</v>
      </c>
      <c r="D30" s="20">
        <v>10000</v>
      </c>
      <c r="F30" s="17" t="s">
        <v>276</v>
      </c>
      <c r="G30" s="18">
        <v>-22844</v>
      </c>
      <c r="H30" s="20">
        <v>-22844</v>
      </c>
      <c r="J30" s="17" t="s">
        <v>276</v>
      </c>
      <c r="K30" s="18">
        <v>4156</v>
      </c>
      <c r="L30" s="20">
        <v>4156</v>
      </c>
      <c r="O30" s="17" t="s">
        <v>13</v>
      </c>
      <c r="P30" s="18">
        <v>-5999</v>
      </c>
      <c r="Q30" s="21">
        <v>4.9509934999125175E-3</v>
      </c>
      <c r="R30" s="20">
        <v>-5999</v>
      </c>
    </row>
    <row r="31" spans="2:18" x14ac:dyDescent="0.3">
      <c r="B31" s="17" t="s">
        <v>278</v>
      </c>
      <c r="C31" s="18">
        <v>99000</v>
      </c>
      <c r="D31" s="20">
        <v>99000</v>
      </c>
      <c r="F31" s="17" t="s">
        <v>277</v>
      </c>
      <c r="G31" s="18">
        <v>-12718</v>
      </c>
      <c r="H31" s="20">
        <v>-12718</v>
      </c>
      <c r="J31" s="17" t="s">
        <v>277</v>
      </c>
      <c r="K31" s="18">
        <v>-2718</v>
      </c>
      <c r="L31" s="20">
        <v>-2718</v>
      </c>
      <c r="O31" s="17" t="s">
        <v>20</v>
      </c>
      <c r="P31" s="18">
        <v>-3314</v>
      </c>
      <c r="Q31" s="21">
        <v>2.735054585549272E-3</v>
      </c>
      <c r="R31" s="20">
        <v>-3314</v>
      </c>
    </row>
    <row r="32" spans="2:18" x14ac:dyDescent="0.3">
      <c r="B32" s="17" t="s">
        <v>279</v>
      </c>
      <c r="C32" s="18">
        <v>17000</v>
      </c>
      <c r="D32" s="20">
        <v>17000</v>
      </c>
      <c r="F32" s="17" t="s">
        <v>278</v>
      </c>
      <c r="G32" s="18">
        <v>-132200</v>
      </c>
      <c r="H32" s="20">
        <v>-132200</v>
      </c>
      <c r="J32" s="17" t="s">
        <v>278</v>
      </c>
      <c r="K32" s="18">
        <v>-33200</v>
      </c>
      <c r="L32" s="20">
        <v>-33200</v>
      </c>
      <c r="O32" s="16" t="s">
        <v>28</v>
      </c>
      <c r="P32" s="18">
        <v>-33400</v>
      </c>
      <c r="Q32" s="21">
        <v>2.7565124670291399E-2</v>
      </c>
      <c r="R32" s="20">
        <v>-33400</v>
      </c>
    </row>
    <row r="33" spans="2:18" x14ac:dyDescent="0.3">
      <c r="B33" s="17" t="s">
        <v>270</v>
      </c>
      <c r="C33" s="18">
        <v>20000</v>
      </c>
      <c r="D33" s="20">
        <v>20000</v>
      </c>
      <c r="F33" s="17" t="s">
        <v>279</v>
      </c>
      <c r="G33" s="18">
        <v>-22100</v>
      </c>
      <c r="H33" s="20">
        <v>-22100</v>
      </c>
      <c r="J33" s="17" t="s">
        <v>279</v>
      </c>
      <c r="K33" s="18">
        <v>-5100</v>
      </c>
      <c r="L33" s="20">
        <v>-5100</v>
      </c>
      <c r="O33" s="17" t="s">
        <v>11</v>
      </c>
      <c r="P33" s="18">
        <v>-21850</v>
      </c>
      <c r="Q33" s="21">
        <v>1.8032873474427159E-2</v>
      </c>
      <c r="R33" s="20">
        <v>-21850</v>
      </c>
    </row>
    <row r="34" spans="2:18" x14ac:dyDescent="0.3">
      <c r="B34" s="17" t="s">
        <v>272</v>
      </c>
      <c r="C34" s="18">
        <v>95000</v>
      </c>
      <c r="D34" s="20">
        <v>95000</v>
      </c>
      <c r="F34" s="17" t="s">
        <v>270</v>
      </c>
      <c r="G34" s="18">
        <v>-19849</v>
      </c>
      <c r="H34" s="20">
        <v>-19849</v>
      </c>
      <c r="J34" s="17" t="s">
        <v>270</v>
      </c>
      <c r="K34" s="18">
        <v>151</v>
      </c>
      <c r="L34" s="20">
        <v>151</v>
      </c>
      <c r="O34" s="17" t="s">
        <v>410</v>
      </c>
      <c r="P34" s="18">
        <v>-8300</v>
      </c>
      <c r="Q34" s="21">
        <v>6.8500160108807967E-3</v>
      </c>
      <c r="R34" s="20">
        <v>-8300</v>
      </c>
    </row>
    <row r="35" spans="2:18" x14ac:dyDescent="0.3">
      <c r="B35" s="17" t="s">
        <v>273</v>
      </c>
      <c r="C35" s="18">
        <v>35000</v>
      </c>
      <c r="D35" s="20">
        <v>35000</v>
      </c>
      <c r="F35" s="17" t="s">
        <v>272</v>
      </c>
      <c r="G35" s="18">
        <v>-137798</v>
      </c>
      <c r="H35" s="20">
        <v>-137798</v>
      </c>
      <c r="J35" s="17" t="s">
        <v>272</v>
      </c>
      <c r="K35" s="18">
        <v>-42798</v>
      </c>
      <c r="L35" s="20">
        <v>-42798</v>
      </c>
      <c r="O35" s="17" t="s">
        <v>10</v>
      </c>
      <c r="P35" s="18">
        <v>-3250</v>
      </c>
      <c r="Q35" s="21">
        <v>2.6822351849834446E-3</v>
      </c>
      <c r="R35" s="20">
        <v>-3250</v>
      </c>
    </row>
    <row r="36" spans="2:18" x14ac:dyDescent="0.3">
      <c r="B36" s="17" t="s">
        <v>274</v>
      </c>
      <c r="C36" s="18">
        <v>15000</v>
      </c>
      <c r="D36" s="20">
        <v>15000</v>
      </c>
      <c r="F36" s="17" t="s">
        <v>273</v>
      </c>
      <c r="G36" s="18">
        <v>-8049</v>
      </c>
      <c r="H36" s="20">
        <v>-8049</v>
      </c>
      <c r="J36" s="17" t="s">
        <v>273</v>
      </c>
      <c r="K36" s="18">
        <v>26951</v>
      </c>
      <c r="L36" s="20">
        <v>26951</v>
      </c>
      <c r="O36" s="16" t="s">
        <v>31</v>
      </c>
      <c r="P36" s="18">
        <v>-10999</v>
      </c>
      <c r="Q36" s="21">
        <v>9.0775091691178162E-3</v>
      </c>
      <c r="R36" s="20">
        <v>-10999</v>
      </c>
    </row>
    <row r="37" spans="2:18" x14ac:dyDescent="0.3">
      <c r="B37" s="16" t="s">
        <v>269</v>
      </c>
      <c r="C37" s="18">
        <v>478965</v>
      </c>
      <c r="D37" s="20">
        <v>478965</v>
      </c>
      <c r="F37" s="17" t="s">
        <v>281</v>
      </c>
      <c r="G37" s="18">
        <v>-8820</v>
      </c>
      <c r="H37" s="20">
        <v>-8820</v>
      </c>
      <c r="J37" s="17" t="s">
        <v>281</v>
      </c>
      <c r="K37" s="18">
        <v>-8820</v>
      </c>
      <c r="L37" s="20">
        <v>-8820</v>
      </c>
      <c r="O37" s="17" t="s">
        <v>21</v>
      </c>
      <c r="P37" s="18">
        <v>-10999</v>
      </c>
      <c r="Q37" s="21">
        <v>9.0775091691178162E-3</v>
      </c>
      <c r="R37" s="20">
        <v>-10999</v>
      </c>
    </row>
    <row r="38" spans="2:18" x14ac:dyDescent="0.3">
      <c r="B38" s="17" t="s">
        <v>275</v>
      </c>
      <c r="C38" s="18">
        <v>113000</v>
      </c>
      <c r="D38" s="20">
        <v>113000</v>
      </c>
      <c r="F38" s="17" t="s">
        <v>274</v>
      </c>
      <c r="G38" s="18">
        <v>-3500</v>
      </c>
      <c r="H38" s="20">
        <v>-3500</v>
      </c>
      <c r="J38" s="17" t="s">
        <v>274</v>
      </c>
      <c r="K38" s="18">
        <v>11500</v>
      </c>
      <c r="L38" s="20">
        <v>11500</v>
      </c>
      <c r="O38" s="16" t="s">
        <v>30</v>
      </c>
      <c r="P38" s="18">
        <v>-4029</v>
      </c>
      <c r="Q38" s="21">
        <v>3.3251463262456301E-3</v>
      </c>
      <c r="R38" s="20">
        <v>-4029</v>
      </c>
    </row>
    <row r="39" spans="2:18" x14ac:dyDescent="0.3">
      <c r="B39" s="17" t="s">
        <v>276</v>
      </c>
      <c r="C39" s="18">
        <v>15000</v>
      </c>
      <c r="D39" s="20">
        <v>15000</v>
      </c>
      <c r="F39" s="16" t="s">
        <v>269</v>
      </c>
      <c r="G39" s="18">
        <v>-389145</v>
      </c>
      <c r="H39" s="20">
        <v>-389145</v>
      </c>
      <c r="J39" s="16" t="s">
        <v>269</v>
      </c>
      <c r="K39" s="18">
        <v>89820</v>
      </c>
      <c r="L39" s="20">
        <v>89820</v>
      </c>
      <c r="O39" s="17" t="s">
        <v>16</v>
      </c>
      <c r="P39" s="18">
        <v>-4029</v>
      </c>
      <c r="Q39" s="21">
        <v>3.3251463262456301E-3</v>
      </c>
      <c r="R39" s="20">
        <v>-4029</v>
      </c>
    </row>
    <row r="40" spans="2:18" x14ac:dyDescent="0.3">
      <c r="B40" s="17" t="s">
        <v>277</v>
      </c>
      <c r="C40" s="18">
        <v>15000</v>
      </c>
      <c r="D40" s="20">
        <v>15000</v>
      </c>
      <c r="F40" s="17" t="s">
        <v>275</v>
      </c>
      <c r="G40" s="18">
        <v>-137698</v>
      </c>
      <c r="H40" s="20">
        <v>-137698</v>
      </c>
      <c r="J40" s="17" t="s">
        <v>275</v>
      </c>
      <c r="K40" s="18">
        <v>-24698</v>
      </c>
      <c r="L40" s="20">
        <v>-24698</v>
      </c>
      <c r="O40" s="16" t="s">
        <v>32</v>
      </c>
      <c r="P40" s="18">
        <v>-3199</v>
      </c>
      <c r="Q40" s="21">
        <v>2.6401447251575504E-3</v>
      </c>
      <c r="R40" s="20">
        <v>-3199</v>
      </c>
    </row>
    <row r="41" spans="2:18" x14ac:dyDescent="0.3">
      <c r="B41" s="17" t="s">
        <v>278</v>
      </c>
      <c r="C41" s="18">
        <v>13000</v>
      </c>
      <c r="D41" s="20">
        <v>13000</v>
      </c>
      <c r="F41" s="17" t="s">
        <v>276</v>
      </c>
      <c r="G41" s="18">
        <v>-14530</v>
      </c>
      <c r="H41" s="20">
        <v>-14530</v>
      </c>
      <c r="J41" s="17" t="s">
        <v>276</v>
      </c>
      <c r="K41" s="18">
        <v>470</v>
      </c>
      <c r="L41" s="20">
        <v>470</v>
      </c>
      <c r="O41" s="17" t="s">
        <v>23</v>
      </c>
      <c r="P41" s="18">
        <v>-3199</v>
      </c>
      <c r="Q41" s="21">
        <v>2.6401447251575504E-3</v>
      </c>
      <c r="R41" s="20">
        <v>-3199</v>
      </c>
    </row>
    <row r="42" spans="2:18" x14ac:dyDescent="0.3">
      <c r="B42" s="17" t="s">
        <v>280</v>
      </c>
      <c r="C42" s="18">
        <v>7000</v>
      </c>
      <c r="D42" s="20">
        <v>7000</v>
      </c>
      <c r="F42" s="17" t="s">
        <v>277</v>
      </c>
      <c r="G42" s="18">
        <v>-10899</v>
      </c>
      <c r="H42" s="20">
        <v>-10899</v>
      </c>
      <c r="J42" s="17" t="s">
        <v>277</v>
      </c>
      <c r="K42" s="18">
        <v>4101</v>
      </c>
      <c r="L42" s="20">
        <v>4101</v>
      </c>
      <c r="O42" s="16" t="s">
        <v>264</v>
      </c>
      <c r="P42" s="18">
        <v>-1211676</v>
      </c>
      <c r="Q42" s="21">
        <v>1</v>
      </c>
      <c r="R42" s="20">
        <v>-1211676</v>
      </c>
    </row>
    <row r="43" spans="2:18" x14ac:dyDescent="0.3">
      <c r="B43" s="17" t="s">
        <v>279</v>
      </c>
      <c r="C43" s="18">
        <v>7600</v>
      </c>
      <c r="D43" s="20">
        <v>7600</v>
      </c>
      <c r="F43" s="17" t="s">
        <v>278</v>
      </c>
      <c r="G43" s="18">
        <v>-13998</v>
      </c>
      <c r="H43" s="20">
        <v>-13998</v>
      </c>
      <c r="J43" s="17" t="s">
        <v>278</v>
      </c>
      <c r="K43" s="18">
        <v>-998</v>
      </c>
      <c r="L43" s="20">
        <v>-998</v>
      </c>
    </row>
    <row r="44" spans="2:18" x14ac:dyDescent="0.3">
      <c r="B44" s="17" t="s">
        <v>270</v>
      </c>
      <c r="C44" s="18">
        <v>45180</v>
      </c>
      <c r="D44" s="20">
        <v>45180</v>
      </c>
      <c r="F44" s="17" t="s">
        <v>280</v>
      </c>
      <c r="G44" s="18">
        <v>-6200</v>
      </c>
      <c r="H44" s="20">
        <v>-6200</v>
      </c>
      <c r="J44" s="17" t="s">
        <v>280</v>
      </c>
      <c r="K44" s="18">
        <v>800</v>
      </c>
      <c r="L44" s="20">
        <v>800</v>
      </c>
    </row>
    <row r="45" spans="2:18" x14ac:dyDescent="0.3">
      <c r="B45" s="17" t="s">
        <v>271</v>
      </c>
      <c r="C45" s="18">
        <v>45000</v>
      </c>
      <c r="D45" s="20">
        <v>45000</v>
      </c>
      <c r="F45" s="17" t="s">
        <v>279</v>
      </c>
      <c r="G45" s="18">
        <v>-4700</v>
      </c>
      <c r="H45" s="20">
        <v>-4700</v>
      </c>
      <c r="J45" s="17" t="s">
        <v>279</v>
      </c>
      <c r="K45" s="18">
        <v>2900</v>
      </c>
      <c r="L45" s="20">
        <v>2900</v>
      </c>
    </row>
    <row r="46" spans="2:18" x14ac:dyDescent="0.3">
      <c r="B46" s="17" t="s">
        <v>272</v>
      </c>
      <c r="C46" s="18">
        <v>53000</v>
      </c>
      <c r="D46" s="20">
        <v>53000</v>
      </c>
      <c r="F46" s="17" t="s">
        <v>270</v>
      </c>
      <c r="G46" s="18">
        <v>-35096</v>
      </c>
      <c r="H46" s="20">
        <v>-35096</v>
      </c>
      <c r="J46" s="17" t="s">
        <v>270</v>
      </c>
      <c r="K46" s="18">
        <v>10084</v>
      </c>
      <c r="L46" s="20">
        <v>10084</v>
      </c>
    </row>
    <row r="47" spans="2:18" x14ac:dyDescent="0.3">
      <c r="B47" s="17" t="s">
        <v>273</v>
      </c>
      <c r="C47" s="18">
        <v>45185</v>
      </c>
      <c r="D47" s="20">
        <v>45185</v>
      </c>
      <c r="F47" s="17" t="s">
        <v>271</v>
      </c>
      <c r="G47" s="18">
        <v>-31079</v>
      </c>
      <c r="H47" s="20">
        <v>-31079</v>
      </c>
      <c r="J47" s="17" t="s">
        <v>271</v>
      </c>
      <c r="K47" s="18">
        <v>13921</v>
      </c>
      <c r="L47" s="20">
        <v>13921</v>
      </c>
    </row>
    <row r="48" spans="2:18" x14ac:dyDescent="0.3">
      <c r="B48" s="17" t="s">
        <v>281</v>
      </c>
      <c r="C48" s="18">
        <v>45000</v>
      </c>
      <c r="D48" s="20">
        <v>45000</v>
      </c>
      <c r="F48" s="17" t="s">
        <v>272</v>
      </c>
      <c r="G48" s="18">
        <v>-30119</v>
      </c>
      <c r="H48" s="20">
        <v>-30119</v>
      </c>
      <c r="J48" s="17" t="s">
        <v>272</v>
      </c>
      <c r="K48" s="18">
        <v>22881</v>
      </c>
      <c r="L48" s="20">
        <v>22881</v>
      </c>
    </row>
    <row r="49" spans="2:12" x14ac:dyDescent="0.3">
      <c r="B49" s="17" t="s">
        <v>274</v>
      </c>
      <c r="C49" s="18">
        <v>75000</v>
      </c>
      <c r="D49" s="20">
        <v>75000</v>
      </c>
      <c r="F49" s="17" t="s">
        <v>273</v>
      </c>
      <c r="G49" s="18">
        <v>-33119</v>
      </c>
      <c r="H49" s="20">
        <v>-33119</v>
      </c>
      <c r="J49" s="17" t="s">
        <v>273</v>
      </c>
      <c r="K49" s="18">
        <v>12066</v>
      </c>
      <c r="L49" s="20">
        <v>12066</v>
      </c>
    </row>
    <row r="50" spans="2:12" x14ac:dyDescent="0.3">
      <c r="B50" s="16" t="s">
        <v>420</v>
      </c>
      <c r="C50" s="18">
        <v>301630</v>
      </c>
      <c r="D50" s="20">
        <v>301630</v>
      </c>
      <c r="F50" s="17" t="s">
        <v>281</v>
      </c>
      <c r="G50" s="18">
        <v>-32558</v>
      </c>
      <c r="H50" s="20">
        <v>-32558</v>
      </c>
      <c r="J50" s="17" t="s">
        <v>281</v>
      </c>
      <c r="K50" s="18">
        <v>12442</v>
      </c>
      <c r="L50" s="20">
        <v>12442</v>
      </c>
    </row>
    <row r="51" spans="2:12" x14ac:dyDescent="0.3">
      <c r="B51" s="17" t="s">
        <v>275</v>
      </c>
      <c r="C51" s="18">
        <v>45195</v>
      </c>
      <c r="D51" s="20">
        <v>45195</v>
      </c>
      <c r="F51" s="17" t="s">
        <v>274</v>
      </c>
      <c r="G51" s="18">
        <v>-39149</v>
      </c>
      <c r="H51" s="20">
        <v>-39149</v>
      </c>
      <c r="J51" s="17" t="s">
        <v>274</v>
      </c>
      <c r="K51" s="18">
        <v>35851</v>
      </c>
      <c r="L51" s="20">
        <v>35851</v>
      </c>
    </row>
    <row r="52" spans="2:12" x14ac:dyDescent="0.3">
      <c r="B52" s="17" t="s">
        <v>276</v>
      </c>
      <c r="C52" s="18">
        <v>51000</v>
      </c>
      <c r="D52" s="20">
        <v>51000</v>
      </c>
      <c r="F52" s="16" t="s">
        <v>420</v>
      </c>
      <c r="G52" s="18">
        <v>-220852</v>
      </c>
      <c r="H52" s="20">
        <v>-220852</v>
      </c>
      <c r="J52" s="16" t="s">
        <v>420</v>
      </c>
      <c r="K52" s="18">
        <v>80778</v>
      </c>
      <c r="L52" s="20">
        <v>80778</v>
      </c>
    </row>
    <row r="53" spans="2:12" x14ac:dyDescent="0.3">
      <c r="B53" s="17" t="s">
        <v>277</v>
      </c>
      <c r="C53" s="18">
        <v>45000</v>
      </c>
      <c r="D53" s="20">
        <v>45000</v>
      </c>
      <c r="F53" s="17" t="s">
        <v>275</v>
      </c>
      <c r="G53" s="18">
        <v>-32578</v>
      </c>
      <c r="H53" s="20">
        <v>-32578</v>
      </c>
      <c r="J53" s="17" t="s">
        <v>275</v>
      </c>
      <c r="K53" s="18">
        <v>12617</v>
      </c>
      <c r="L53" s="20">
        <v>12617</v>
      </c>
    </row>
    <row r="54" spans="2:12" x14ac:dyDescent="0.3">
      <c r="B54" s="17" t="s">
        <v>278</v>
      </c>
      <c r="C54" s="18">
        <v>50210</v>
      </c>
      <c r="D54" s="20">
        <v>50210</v>
      </c>
      <c r="F54" s="17" t="s">
        <v>276</v>
      </c>
      <c r="G54" s="18">
        <v>-31979</v>
      </c>
      <c r="H54" s="20">
        <v>-31979</v>
      </c>
      <c r="J54" s="17" t="s">
        <v>276</v>
      </c>
      <c r="K54" s="18">
        <v>19021</v>
      </c>
      <c r="L54" s="20">
        <v>19021</v>
      </c>
    </row>
    <row r="55" spans="2:12" x14ac:dyDescent="0.3">
      <c r="B55" s="17" t="s">
        <v>280</v>
      </c>
      <c r="C55" s="18">
        <v>50000</v>
      </c>
      <c r="D55" s="20">
        <v>50000</v>
      </c>
      <c r="F55" s="17" t="s">
        <v>277</v>
      </c>
      <c r="G55" s="18">
        <v>-35609</v>
      </c>
      <c r="H55" s="20">
        <v>-35609</v>
      </c>
      <c r="J55" s="17" t="s">
        <v>277</v>
      </c>
      <c r="K55" s="18">
        <v>9391</v>
      </c>
      <c r="L55" s="20">
        <v>9391</v>
      </c>
    </row>
    <row r="56" spans="2:12" x14ac:dyDescent="0.3">
      <c r="B56" s="17" t="s">
        <v>279</v>
      </c>
      <c r="C56" s="18">
        <v>60225</v>
      </c>
      <c r="D56" s="20">
        <v>60225</v>
      </c>
      <c r="F56" s="17" t="s">
        <v>278</v>
      </c>
      <c r="G56" s="18">
        <v>-37439</v>
      </c>
      <c r="H56" s="20">
        <v>-37439</v>
      </c>
      <c r="J56" s="17" t="s">
        <v>278</v>
      </c>
      <c r="K56" s="18">
        <v>12771</v>
      </c>
      <c r="L56" s="20">
        <v>12771</v>
      </c>
    </row>
    <row r="57" spans="2:12" x14ac:dyDescent="0.3">
      <c r="B57" s="16" t="s">
        <v>264</v>
      </c>
      <c r="C57" s="18">
        <v>1278595</v>
      </c>
      <c r="D57" s="20">
        <v>1278595</v>
      </c>
      <c r="F57" s="17" t="s">
        <v>280</v>
      </c>
      <c r="G57" s="18">
        <v>-48449</v>
      </c>
      <c r="H57" s="20">
        <v>-48449</v>
      </c>
      <c r="J57" s="17" t="s">
        <v>280</v>
      </c>
      <c r="K57" s="18">
        <v>1551</v>
      </c>
      <c r="L57" s="20">
        <v>1551</v>
      </c>
    </row>
    <row r="58" spans="2:12" x14ac:dyDescent="0.3">
      <c r="F58" s="17" t="s">
        <v>279</v>
      </c>
      <c r="G58" s="18">
        <v>-34798</v>
      </c>
      <c r="H58" s="20">
        <v>-34798</v>
      </c>
      <c r="J58" s="17" t="s">
        <v>279</v>
      </c>
      <c r="K58" s="18">
        <v>25427</v>
      </c>
      <c r="L58" s="20">
        <v>25427</v>
      </c>
    </row>
    <row r="59" spans="2:12" x14ac:dyDescent="0.3">
      <c r="F59" s="16" t="s">
        <v>264</v>
      </c>
      <c r="G59" s="18">
        <v>-1211676</v>
      </c>
      <c r="H59" s="20">
        <v>-1211676</v>
      </c>
      <c r="J59" s="16" t="s">
        <v>264</v>
      </c>
      <c r="K59" s="18">
        <v>66919</v>
      </c>
      <c r="L59" s="20">
        <v>66919</v>
      </c>
    </row>
  </sheetData>
  <conditionalFormatting pivot="1" sqref="H10:H12 H8 H14 H16">
    <cfRule type="dataBar" priority="9">
      <dataBar>
        <cfvo type="min"/>
        <cfvo type="max"/>
        <color theme="6" tint="-0.249977111117893"/>
      </dataBar>
      <extLst>
        <ext xmlns:x14="http://schemas.microsoft.com/office/spreadsheetml/2009/9/main" uri="{B025F937-C7B1-47D3-B67F-A62EFF666E3E}">
          <x14:id>{7AF5703D-D380-4845-8FA5-7C01D8119F16}</x14:id>
        </ext>
      </extLst>
    </cfRule>
  </conditionalFormatting>
  <conditionalFormatting pivot="1" sqref="M7:M16">
    <cfRule type="dataBar" priority="7">
      <dataBar>
        <cfvo type="min"/>
        <cfvo type="max"/>
        <color rgb="FF638EC6"/>
      </dataBar>
      <extLst>
        <ext xmlns:x14="http://schemas.microsoft.com/office/spreadsheetml/2009/9/main" uri="{B025F937-C7B1-47D3-B67F-A62EFF666E3E}">
          <x14:id>{102E1027-3D04-44AD-9CF5-5360E28C2BFB}</x14:id>
        </ext>
      </extLst>
    </cfRule>
  </conditionalFormatting>
  <conditionalFormatting pivot="1" sqref="R8:R14 R16:R18 R20:R21 R23 R25 R27:R31 R33:R35 R37 R39 R41">
    <cfRule type="dataBar" priority="5">
      <dataBar>
        <cfvo type="min"/>
        <cfvo type="max"/>
        <color rgb="FF638EC6"/>
      </dataBar>
      <extLst>
        <ext xmlns:x14="http://schemas.microsoft.com/office/spreadsheetml/2009/9/main" uri="{B025F937-C7B1-47D3-B67F-A62EFF666E3E}">
          <x14:id>{769D010D-B86F-4F9F-A339-FBAF2B53EB12}</x14:id>
        </ext>
      </extLst>
    </cfRule>
  </conditionalFormatting>
  <conditionalFormatting pivot="1" sqref="D22:D26 D28:D36 D38:D49 D51:D56">
    <cfRule type="dataBar" priority="3">
      <dataBar>
        <cfvo type="min"/>
        <cfvo type="max"/>
        <color theme="6" tint="-0.249977111117893"/>
      </dataBar>
      <extLst>
        <ext xmlns:x14="http://schemas.microsoft.com/office/spreadsheetml/2009/9/main" uri="{B025F937-C7B1-47D3-B67F-A62EFF666E3E}">
          <x14:id>{B99EFF96-7737-44FD-BD0E-7816409E767A}</x14:id>
        </ext>
      </extLst>
    </cfRule>
  </conditionalFormatting>
  <conditionalFormatting pivot="1" sqref="H22:H27 H29:H38 H40:H51 H53:H58">
    <cfRule type="dataBar" priority="2">
      <dataBar>
        <cfvo type="min"/>
        <cfvo type="max"/>
        <color theme="6" tint="-0.249977111117893"/>
      </dataBar>
      <extLst>
        <ext xmlns:x14="http://schemas.microsoft.com/office/spreadsheetml/2009/9/main" uri="{B025F937-C7B1-47D3-B67F-A62EFF666E3E}">
          <x14:id>{552A8A57-9062-46AC-8961-3C31D022B09D}</x14:id>
        </ext>
      </extLst>
    </cfRule>
  </conditionalFormatting>
  <conditionalFormatting pivot="1" sqref="L22:L27 L29:L38 L40:L51 L53:L58">
    <cfRule type="dataBar" priority="1">
      <dataBar>
        <cfvo type="min"/>
        <cfvo type="max"/>
        <color theme="6" tint="-0.249977111117893"/>
      </dataBar>
      <extLst>
        <ext xmlns:x14="http://schemas.microsoft.com/office/spreadsheetml/2009/9/main" uri="{B025F937-C7B1-47D3-B67F-A62EFF666E3E}">
          <x14:id>{3C61E366-446E-470E-90DD-566EBA5986D5}</x14:id>
        </ext>
      </extLst>
    </cfRule>
  </conditionalFormatting>
  <pageMargins left="0.7" right="0.7" top="0.75" bottom="0.75" header="0.3" footer="0.3"/>
  <pageSetup orientation="portrait" r:id="rId7"/>
  <drawing r:id="rId8"/>
  <extLst>
    <ext xmlns:x14="http://schemas.microsoft.com/office/spreadsheetml/2009/9/main" uri="{78C0D931-6437-407d-A8EE-F0AAD7539E65}">
      <x14:conditionalFormattings>
        <x14:conditionalFormatting xmlns:xm="http://schemas.microsoft.com/office/excel/2006/main" pivot="1">
          <x14:cfRule type="dataBar" id="{7AF5703D-D380-4845-8FA5-7C01D8119F16}">
            <x14:dataBar minLength="0" maxLength="100" gradient="0">
              <x14:cfvo type="autoMin"/>
              <x14:cfvo type="autoMax"/>
              <x14:negativeFillColor rgb="FFFF0000"/>
              <x14:axisColor rgb="FF000000"/>
            </x14:dataBar>
          </x14:cfRule>
          <xm:sqref>H10:H12 H8 H14 H16</xm:sqref>
        </x14:conditionalFormatting>
        <x14:conditionalFormatting xmlns:xm="http://schemas.microsoft.com/office/excel/2006/main" pivot="1">
          <x14:cfRule type="dataBar" id="{102E1027-3D04-44AD-9CF5-5360E28C2BFB}">
            <x14:dataBar minLength="0" maxLength="100" gradient="0" direction="rightToLeft">
              <x14:cfvo type="autoMin"/>
              <x14:cfvo type="autoMax"/>
              <x14:negativeFillColor theme="5" tint="-0.249977111117893"/>
              <x14:axisColor rgb="FF000000"/>
            </x14:dataBar>
          </x14:cfRule>
          <xm:sqref>M7:M16</xm:sqref>
        </x14:conditionalFormatting>
        <x14:conditionalFormatting xmlns:xm="http://schemas.microsoft.com/office/excel/2006/main" pivot="1">
          <x14:cfRule type="dataBar" id="{769D010D-B86F-4F9F-A339-FBAF2B53EB12}">
            <x14:dataBar minLength="0" maxLength="100" gradient="0" direction="rightToLeft">
              <x14:cfvo type="autoMin"/>
              <x14:cfvo type="autoMax"/>
              <x14:negativeFillColor theme="5" tint="-0.249977111117893"/>
              <x14:axisColor rgb="FF000000"/>
            </x14:dataBar>
          </x14:cfRule>
          <xm:sqref>R8:R14 R16:R18 R20:R21 R23 R25 R27:R31 R33:R35 R37 R39 R41</xm:sqref>
        </x14:conditionalFormatting>
        <x14:conditionalFormatting xmlns:xm="http://schemas.microsoft.com/office/excel/2006/main" pivot="1">
          <x14:cfRule type="dataBar" id="{B99EFF96-7737-44FD-BD0E-7816409E767A}">
            <x14:dataBar minLength="0" maxLength="100" gradient="0">
              <x14:cfvo type="autoMin"/>
              <x14:cfvo type="autoMax"/>
              <x14:negativeFillColor rgb="FFFF0000"/>
              <x14:axisColor rgb="FF000000"/>
            </x14:dataBar>
          </x14:cfRule>
          <xm:sqref>D22:D26 D28:D36 D38:D49 D51:D56</xm:sqref>
        </x14:conditionalFormatting>
        <x14:conditionalFormatting xmlns:xm="http://schemas.microsoft.com/office/excel/2006/main" pivot="1">
          <x14:cfRule type="dataBar" id="{552A8A57-9062-46AC-8961-3C31D022B09D}">
            <x14:dataBar minLength="0" maxLength="100" gradient="0" direction="rightToLeft">
              <x14:cfvo type="autoMin"/>
              <x14:cfvo type="autoMax"/>
              <x14:negativeFillColor theme="5" tint="-0.249977111117893"/>
              <x14:axisColor rgb="FF000000"/>
            </x14:dataBar>
          </x14:cfRule>
          <xm:sqref>H22:H27 H29:H38 H40:H51 H53:H58</xm:sqref>
        </x14:conditionalFormatting>
        <x14:conditionalFormatting xmlns:xm="http://schemas.microsoft.com/office/excel/2006/main" pivot="1">
          <x14:cfRule type="dataBar" id="{3C61E366-446E-470E-90DD-566EBA5986D5}">
            <x14:dataBar minLength="0" maxLength="100" gradient="0">
              <x14:cfvo type="autoMin"/>
              <x14:cfvo type="autoMax"/>
              <x14:negativeFillColor theme="5" tint="-0.249977111117893"/>
              <x14:axisColor rgb="FF000000"/>
            </x14:dataBar>
          </x14:cfRule>
          <xm:sqref>L22:L27 L29:L38 L40:L51 L53:L58</xm:sqref>
        </x14:conditionalFormatting>
      </x14:conditionalFormattings>
    </ex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K343"/>
  <sheetViews>
    <sheetView topLeftCell="A309" workbookViewId="0">
      <selection activeCell="I179" sqref="I179"/>
    </sheetView>
  </sheetViews>
  <sheetFormatPr defaultRowHeight="14.4" x14ac:dyDescent="0.3"/>
  <cols>
    <col min="1" max="1" width="10.6640625" customWidth="1"/>
    <col min="2" max="2" width="11.88671875" bestFit="1" customWidth="1"/>
    <col min="3" max="3" width="39.33203125" bestFit="1" customWidth="1"/>
    <col min="4" max="4" width="11.44140625" bestFit="1" customWidth="1"/>
    <col min="5" max="5" width="10.21875" customWidth="1"/>
    <col min="6" max="6" width="12" bestFit="1" customWidth="1"/>
    <col min="7" max="7" width="20.6640625" bestFit="1" customWidth="1"/>
    <col min="8" max="8" width="16.109375" customWidth="1"/>
    <col min="9" max="9" width="25.5546875" bestFit="1" customWidth="1"/>
    <col min="10" max="10" width="27" bestFit="1" customWidth="1"/>
    <col min="11" max="11" width="14.109375" customWidth="1"/>
  </cols>
  <sheetData>
    <row r="3" spans="1:11" x14ac:dyDescent="0.3">
      <c r="A3" t="s">
        <v>165</v>
      </c>
      <c r="B3" s="9" t="s">
        <v>158</v>
      </c>
      <c r="C3" s="9" t="s">
        <v>159</v>
      </c>
      <c r="D3" s="9" t="s">
        <v>161</v>
      </c>
      <c r="E3" s="9" t="s">
        <v>162</v>
      </c>
      <c r="F3" s="9" t="s">
        <v>163</v>
      </c>
      <c r="G3" s="9" t="s">
        <v>164</v>
      </c>
      <c r="H3" s="9" t="s">
        <v>260</v>
      </c>
      <c r="I3" s="9" t="s">
        <v>261</v>
      </c>
      <c r="J3" s="9" t="s">
        <v>160</v>
      </c>
      <c r="K3" s="9" t="s">
        <v>262</v>
      </c>
    </row>
    <row r="4" spans="1:11" x14ac:dyDescent="0.3">
      <c r="A4" t="s">
        <v>166</v>
      </c>
      <c r="B4" s="10">
        <v>45108</v>
      </c>
      <c r="C4" s="11" t="s">
        <v>43</v>
      </c>
      <c r="D4" s="12">
        <v>0</v>
      </c>
      <c r="E4" s="13">
        <v>5000</v>
      </c>
      <c r="F4" s="13">
        <v>5000</v>
      </c>
      <c r="G4" s="14" t="s">
        <v>44</v>
      </c>
      <c r="H4" s="19">
        <f>Table4[[#This Row],[Credit (₹)]]-Table4[[#This Row],[Debit (₹)]]</f>
        <v>5000</v>
      </c>
      <c r="I4" t="s">
        <v>35</v>
      </c>
      <c r="J4" t="str">
        <f>_xlfn.XLOOKUP(Table4[[#This Row],[Subcategory]],Categories[Subcategory],Categories[Category],"Add Subcategory")</f>
        <v>Family Support &amp; Financial Aid</v>
      </c>
      <c r="K4" t="str">
        <f>_xlfn.XLOOKUP(Table4[[#This Row],[Subcategory]],Categories[Subcategory],Categories[Categorys Type],"Add Subcategory")</f>
        <v>Income</v>
      </c>
    </row>
    <row r="5" spans="1:11" x14ac:dyDescent="0.3">
      <c r="A5" t="s">
        <v>259</v>
      </c>
      <c r="B5" s="10">
        <v>45108</v>
      </c>
      <c r="C5" s="11" t="s">
        <v>214</v>
      </c>
      <c r="D5" s="12">
        <v>0</v>
      </c>
      <c r="E5" s="13">
        <v>2000</v>
      </c>
      <c r="F5" s="13">
        <v>2000</v>
      </c>
      <c r="G5" s="14" t="s">
        <v>44</v>
      </c>
      <c r="H5" s="19">
        <f>Table4[[#This Row],[Credit (₹)]]-Table4[[#This Row],[Debit (₹)]]</f>
        <v>2000</v>
      </c>
      <c r="I5" t="s">
        <v>35</v>
      </c>
      <c r="J5" t="str">
        <f>_xlfn.XLOOKUP(Table4[[#This Row],[Subcategory]],Categories[Subcategory],Categories[Category],"Add Subcategory")</f>
        <v>Family Support &amp; Financial Aid</v>
      </c>
      <c r="K5" t="str">
        <f>_xlfn.XLOOKUP(Table4[[#This Row],[Subcategory]],Categories[Subcategory],Categories[Categorys Type],"Add Subcategory")</f>
        <v>Income</v>
      </c>
    </row>
    <row r="6" spans="1:11" x14ac:dyDescent="0.3">
      <c r="A6" t="s">
        <v>213</v>
      </c>
      <c r="B6" s="10">
        <v>45112</v>
      </c>
      <c r="C6" s="11" t="s">
        <v>167</v>
      </c>
      <c r="D6" s="13">
        <v>2499</v>
      </c>
      <c r="E6" s="12">
        <v>0</v>
      </c>
      <c r="F6" s="13">
        <v>2499</v>
      </c>
      <c r="G6" s="14" t="s">
        <v>168</v>
      </c>
      <c r="H6" s="19">
        <f>Table4[[#This Row],[Credit (₹)]]-Table4[[#This Row],[Debit (₹)]]</f>
        <v>-2499</v>
      </c>
      <c r="I6" t="s">
        <v>13</v>
      </c>
      <c r="J6" t="str">
        <f>_xlfn.XLOOKUP(Table4[[#This Row],[Subcategory]],Categories[Subcategory],Categories[Category],"Add Subcategory")</f>
        <v>Personal Care &amp; Lifestyle</v>
      </c>
      <c r="K6" t="str">
        <f>_xlfn.XLOOKUP(Table4[[#This Row],[Subcategory]],Categories[Subcategory],Categories[Categorys Type],"Add Subcategory")</f>
        <v>Expense</v>
      </c>
    </row>
    <row r="7" spans="1:11" x14ac:dyDescent="0.3">
      <c r="A7" t="s">
        <v>166</v>
      </c>
      <c r="B7" s="10">
        <v>45133</v>
      </c>
      <c r="C7" s="11" t="s">
        <v>45</v>
      </c>
      <c r="D7" s="12">
        <v>0</v>
      </c>
      <c r="E7" s="13">
        <v>10000</v>
      </c>
      <c r="F7" s="13">
        <v>15000</v>
      </c>
      <c r="G7" s="14" t="s">
        <v>46</v>
      </c>
      <c r="H7" s="19">
        <f>Table4[[#This Row],[Credit (₹)]]-Table4[[#This Row],[Debit (₹)]]</f>
        <v>10000</v>
      </c>
      <c r="I7" t="s">
        <v>34</v>
      </c>
      <c r="J7" t="str">
        <f>_xlfn.XLOOKUP(Table4[[#This Row],[Subcategory]],Categories[Subcategory],Categories[Category],"Add Subcategory")</f>
        <v>Family Support &amp; Financial Aid</v>
      </c>
      <c r="K7" t="str">
        <f>_xlfn.XLOOKUP(Table4[[#This Row],[Subcategory]],Categories[Subcategory],Categories[Categorys Type],"Add Subcategory")</f>
        <v>Income</v>
      </c>
    </row>
    <row r="8" spans="1:11" x14ac:dyDescent="0.3">
      <c r="A8" t="s">
        <v>213</v>
      </c>
      <c r="B8" s="10">
        <v>45133</v>
      </c>
      <c r="C8" s="11" t="s">
        <v>169</v>
      </c>
      <c r="D8" s="13">
        <v>649</v>
      </c>
      <c r="E8" s="12">
        <v>0</v>
      </c>
      <c r="F8" s="13">
        <v>3148</v>
      </c>
      <c r="G8" s="14"/>
      <c r="H8" s="19">
        <f>Table4[[#This Row],[Credit (₹)]]-Table4[[#This Row],[Debit (₹)]]</f>
        <v>-649</v>
      </c>
      <c r="I8" t="s">
        <v>6</v>
      </c>
      <c r="J8" t="str">
        <f>_xlfn.XLOOKUP(Table4[[#This Row],[Subcategory]],Categories[Subcategory],Categories[Category],"Add Subcategory")</f>
        <v>Food &amp; Daily Living</v>
      </c>
      <c r="K8" t="str">
        <f>_xlfn.XLOOKUP(Table4[[#This Row],[Subcategory]],Categories[Subcategory],Categories[Categorys Type],"Add Subcategory")</f>
        <v>Expense</v>
      </c>
    </row>
    <row r="9" spans="1:11" x14ac:dyDescent="0.3">
      <c r="A9" t="s">
        <v>259</v>
      </c>
      <c r="B9" s="10">
        <v>45133</v>
      </c>
      <c r="C9" s="11" t="s">
        <v>215</v>
      </c>
      <c r="D9" s="13">
        <v>4000</v>
      </c>
      <c r="E9" s="12">
        <v>0</v>
      </c>
      <c r="F9" s="13">
        <v>-2000</v>
      </c>
      <c r="G9" s="14" t="s">
        <v>216</v>
      </c>
      <c r="H9" s="19">
        <f>Table4[[#This Row],[Credit (₹)]]-Table4[[#This Row],[Debit (₹)]]</f>
        <v>-4000</v>
      </c>
      <c r="I9" t="s">
        <v>5</v>
      </c>
      <c r="J9" t="str">
        <f>_xlfn.XLOOKUP(Table4[[#This Row],[Subcategory]],Categories[Subcategory],Categories[Category],"Add Subcategory")</f>
        <v>Food &amp; Daily Living</v>
      </c>
      <c r="K9" t="str">
        <f>_xlfn.XLOOKUP(Table4[[#This Row],[Subcategory]],Categories[Subcategory],Categories[Categorys Type],"Add Subcategory")</f>
        <v>Expense</v>
      </c>
    </row>
    <row r="10" spans="1:11" x14ac:dyDescent="0.3">
      <c r="A10" t="s">
        <v>166</v>
      </c>
      <c r="B10" s="10">
        <v>45135</v>
      </c>
      <c r="C10" s="11" t="s">
        <v>47</v>
      </c>
      <c r="D10" s="13">
        <v>6000</v>
      </c>
      <c r="E10" s="12">
        <v>0</v>
      </c>
      <c r="F10" s="13">
        <v>9000</v>
      </c>
      <c r="G10" s="14" t="s">
        <v>48</v>
      </c>
      <c r="H10" s="19">
        <f>Table4[[#This Row],[Credit (₹)]]-Table4[[#This Row],[Debit (₹)]]</f>
        <v>-6000</v>
      </c>
      <c r="I10" t="s">
        <v>3</v>
      </c>
      <c r="J10" t="str">
        <f>_xlfn.XLOOKUP(Table4[[#This Row],[Subcategory]],Categories[Subcategory],Categories[Category],"Add Subcategory")</f>
        <v>Accommodation &amp; Utilities</v>
      </c>
      <c r="K10" t="str">
        <f>_xlfn.XLOOKUP(Table4[[#This Row],[Subcategory]],Categories[Subcategory],Categories[Categorys Type],"Add Subcategory")</f>
        <v>Expense</v>
      </c>
    </row>
    <row r="11" spans="1:11" x14ac:dyDescent="0.3">
      <c r="A11" t="s">
        <v>213</v>
      </c>
      <c r="B11" s="10">
        <v>45135</v>
      </c>
      <c r="C11" s="11" t="s">
        <v>170</v>
      </c>
      <c r="D11" s="13">
        <v>1299</v>
      </c>
      <c r="E11" s="12">
        <v>0</v>
      </c>
      <c r="F11" s="13">
        <v>4447</v>
      </c>
      <c r="G11" s="14" t="s">
        <v>171</v>
      </c>
      <c r="H11" s="19">
        <f>Table4[[#This Row],[Credit (₹)]]-Table4[[#This Row],[Debit (₹)]]</f>
        <v>-1299</v>
      </c>
      <c r="I11" t="s">
        <v>7</v>
      </c>
      <c r="J11" t="str">
        <f>_xlfn.XLOOKUP(Table4[[#This Row],[Subcategory]],Categories[Subcategory],Categories[Category],"Add Subcategory")</f>
        <v>Academic / Education Expenses</v>
      </c>
      <c r="K11" t="str">
        <f>_xlfn.XLOOKUP(Table4[[#This Row],[Subcategory]],Categories[Subcategory],Categories[Categorys Type],"Add Subcategory")</f>
        <v>Expense</v>
      </c>
    </row>
    <row r="12" spans="1:11" x14ac:dyDescent="0.3">
      <c r="A12" t="s">
        <v>259</v>
      </c>
      <c r="B12" s="10">
        <v>45135</v>
      </c>
      <c r="C12" s="11" t="s">
        <v>217</v>
      </c>
      <c r="D12" s="12">
        <v>0</v>
      </c>
      <c r="E12" s="13">
        <v>10000</v>
      </c>
      <c r="F12" s="13">
        <v>8000</v>
      </c>
      <c r="G12" s="14" t="s">
        <v>218</v>
      </c>
      <c r="H12" s="19">
        <f>Table4[[#This Row],[Credit (₹)]]-Table4[[#This Row],[Debit (₹)]]</f>
        <v>10000</v>
      </c>
      <c r="I12" t="s">
        <v>34</v>
      </c>
      <c r="J12" t="str">
        <f>_xlfn.XLOOKUP(Table4[[#This Row],[Subcategory]],Categories[Subcategory],Categories[Category],"Add Subcategory")</f>
        <v>Family Support &amp; Financial Aid</v>
      </c>
      <c r="K12" t="str">
        <f>_xlfn.XLOOKUP(Table4[[#This Row],[Subcategory]],Categories[Subcategory],Categories[Categorys Type],"Add Subcategory")</f>
        <v>Income</v>
      </c>
    </row>
    <row r="13" spans="1:11" x14ac:dyDescent="0.3">
      <c r="A13" t="s">
        <v>166</v>
      </c>
      <c r="B13" s="10">
        <v>45138</v>
      </c>
      <c r="C13" s="11" t="s">
        <v>49</v>
      </c>
      <c r="D13" s="13">
        <v>1200</v>
      </c>
      <c r="E13" s="12">
        <v>0</v>
      </c>
      <c r="F13" s="13">
        <v>7800</v>
      </c>
      <c r="G13" s="14" t="s">
        <v>50</v>
      </c>
      <c r="H13" s="19">
        <f>Table4[[#This Row],[Credit (₹)]]-Table4[[#This Row],[Debit (₹)]]</f>
        <v>-1200</v>
      </c>
      <c r="I13" t="s">
        <v>6</v>
      </c>
      <c r="J13" t="str">
        <f>_xlfn.XLOOKUP(Table4[[#This Row],[Subcategory]],Categories[Subcategory],Categories[Category],"Add Subcategory")</f>
        <v>Food &amp; Daily Living</v>
      </c>
      <c r="K13" t="str">
        <f>_xlfn.XLOOKUP(Table4[[#This Row],[Subcategory]],Categories[Subcategory],Categories[Categorys Type],"Add Subcategory")</f>
        <v>Expense</v>
      </c>
    </row>
    <row r="14" spans="1:11" x14ac:dyDescent="0.3">
      <c r="A14" t="s">
        <v>213</v>
      </c>
      <c r="B14" s="10">
        <v>45138</v>
      </c>
      <c r="C14" s="11" t="s">
        <v>172</v>
      </c>
      <c r="D14" s="13">
        <v>800</v>
      </c>
      <c r="E14" s="12">
        <v>0</v>
      </c>
      <c r="F14" s="13">
        <v>5247</v>
      </c>
      <c r="G14" s="14"/>
      <c r="H14" s="19">
        <f>Table4[[#This Row],[Credit (₹)]]-Table4[[#This Row],[Debit (₹)]]</f>
        <v>-800</v>
      </c>
      <c r="I14" t="s">
        <v>4</v>
      </c>
      <c r="J14" t="str">
        <f>_xlfn.XLOOKUP(Table4[[#This Row],[Subcategory]],Categories[Subcategory],Categories[Category],"Add Subcategory")</f>
        <v>Accommodation &amp; Utilities</v>
      </c>
      <c r="K14" t="str">
        <f>_xlfn.XLOOKUP(Table4[[#This Row],[Subcategory]],Categories[Subcategory],Categories[Categorys Type],"Add Subcategory")</f>
        <v>Expense</v>
      </c>
    </row>
    <row r="15" spans="1:11" x14ac:dyDescent="0.3">
      <c r="A15" t="s">
        <v>259</v>
      </c>
      <c r="B15" s="10">
        <v>45138</v>
      </c>
      <c r="C15" s="11" t="s">
        <v>219</v>
      </c>
      <c r="D15" s="13">
        <v>6000</v>
      </c>
      <c r="E15" s="12">
        <v>0</v>
      </c>
      <c r="F15" s="13">
        <v>2000</v>
      </c>
      <c r="G15" s="14"/>
      <c r="H15" s="19">
        <f>Table4[[#This Row],[Credit (₹)]]-Table4[[#This Row],[Debit (₹)]]</f>
        <v>-6000</v>
      </c>
      <c r="I15" t="s">
        <v>3</v>
      </c>
      <c r="J15" t="str">
        <f>_xlfn.XLOOKUP(Table4[[#This Row],[Subcategory]],Categories[Subcategory],Categories[Category],"Add Subcategory")</f>
        <v>Accommodation &amp; Utilities</v>
      </c>
      <c r="K15" t="str">
        <f>_xlfn.XLOOKUP(Table4[[#This Row],[Subcategory]],Categories[Subcategory],Categories[Categorys Type],"Add Subcategory")</f>
        <v>Expense</v>
      </c>
    </row>
    <row r="16" spans="1:11" x14ac:dyDescent="0.3">
      <c r="A16" t="s">
        <v>166</v>
      </c>
      <c r="B16" s="10">
        <v>45140</v>
      </c>
      <c r="C16" s="11" t="s">
        <v>51</v>
      </c>
      <c r="D16" s="13">
        <v>4000</v>
      </c>
      <c r="E16" s="12">
        <v>0</v>
      </c>
      <c r="F16" s="13">
        <v>3800</v>
      </c>
      <c r="G16" s="14" t="s">
        <v>52</v>
      </c>
      <c r="H16" s="19">
        <f>Table4[[#This Row],[Credit (₹)]]-Table4[[#This Row],[Debit (₹)]]</f>
        <v>-4000</v>
      </c>
      <c r="I16" t="s">
        <v>5</v>
      </c>
      <c r="J16" t="str">
        <f>_xlfn.XLOOKUP(Table4[[#This Row],[Subcategory]],Categories[Subcategory],Categories[Category],"Add Subcategory")</f>
        <v>Food &amp; Daily Living</v>
      </c>
      <c r="K16" t="str">
        <f>_xlfn.XLOOKUP(Table4[[#This Row],[Subcategory]],Categories[Subcategory],Categories[Categorys Type],"Add Subcategory")</f>
        <v>Expense</v>
      </c>
    </row>
    <row r="17" spans="1:11" x14ac:dyDescent="0.3">
      <c r="A17" t="s">
        <v>213</v>
      </c>
      <c r="B17" s="10">
        <v>45140</v>
      </c>
      <c r="C17" s="11" t="s">
        <v>173</v>
      </c>
      <c r="D17" s="12">
        <v>0</v>
      </c>
      <c r="E17" s="13">
        <v>5000</v>
      </c>
      <c r="F17" s="13">
        <v>247</v>
      </c>
      <c r="G17" s="14" t="s">
        <v>174</v>
      </c>
      <c r="H17" s="19">
        <f>Table4[[#This Row],[Credit (₹)]]-Table4[[#This Row],[Debit (₹)]]</f>
        <v>5000</v>
      </c>
      <c r="I17" t="s">
        <v>35</v>
      </c>
      <c r="J17" t="str">
        <f>_xlfn.XLOOKUP(Table4[[#This Row],[Subcategory]],Categories[Subcategory],Categories[Category],"Add Subcategory")</f>
        <v>Family Support &amp; Financial Aid</v>
      </c>
      <c r="K17" t="str">
        <f>_xlfn.XLOOKUP(Table4[[#This Row],[Subcategory]],Categories[Subcategory],Categories[Categorys Type],"Add Subcategory")</f>
        <v>Income</v>
      </c>
    </row>
    <row r="18" spans="1:11" x14ac:dyDescent="0.3">
      <c r="A18" t="s">
        <v>259</v>
      </c>
      <c r="B18" s="10">
        <v>45140</v>
      </c>
      <c r="C18" s="11" t="s">
        <v>220</v>
      </c>
      <c r="D18" s="13">
        <v>120000</v>
      </c>
      <c r="E18" s="12">
        <v>0</v>
      </c>
      <c r="F18" s="13">
        <v>-118000</v>
      </c>
      <c r="G18" s="14" t="s">
        <v>221</v>
      </c>
      <c r="H18" s="19">
        <f>Table4[[#This Row],[Credit (₹)]]-Table4[[#This Row],[Debit (₹)]]</f>
        <v>-120000</v>
      </c>
      <c r="I18" t="s">
        <v>0</v>
      </c>
      <c r="J18" t="str">
        <f>_xlfn.XLOOKUP(Table4[[#This Row],[Subcategory]],Categories[Subcategory],Categories[Category],"Add Subcategory")</f>
        <v>Academic / Education Expenses</v>
      </c>
      <c r="K18" t="str">
        <f>_xlfn.XLOOKUP(Table4[[#This Row],[Subcategory]],Categories[Subcategory],Categories[Categorys Type],"Add Subcategory")</f>
        <v>Expense</v>
      </c>
    </row>
    <row r="19" spans="1:11" x14ac:dyDescent="0.3">
      <c r="A19" t="s">
        <v>166</v>
      </c>
      <c r="B19" s="10">
        <v>45152</v>
      </c>
      <c r="C19" s="11" t="s">
        <v>53</v>
      </c>
      <c r="D19" s="13">
        <v>599</v>
      </c>
      <c r="E19" s="12">
        <v>0</v>
      </c>
      <c r="F19" s="13">
        <v>3201</v>
      </c>
      <c r="G19" s="14" t="s">
        <v>54</v>
      </c>
      <c r="H19" s="19">
        <f>Table4[[#This Row],[Credit (₹)]]-Table4[[#This Row],[Debit (₹)]]</f>
        <v>-599</v>
      </c>
      <c r="I19" t="s">
        <v>14</v>
      </c>
      <c r="J19" t="str">
        <f>_xlfn.XLOOKUP(Table4[[#This Row],[Subcategory]],Categories[Subcategory],Categories[Category],"Add Subcategory")</f>
        <v>Personal Care &amp; Lifestyle</v>
      </c>
      <c r="K19" t="str">
        <f>_xlfn.XLOOKUP(Table4[[#This Row],[Subcategory]],Categories[Subcategory],Categories[Categorys Type],"Add Subcategory")</f>
        <v>Expense</v>
      </c>
    </row>
    <row r="20" spans="1:11" x14ac:dyDescent="0.3">
      <c r="A20" t="s">
        <v>259</v>
      </c>
      <c r="B20" s="10">
        <v>45152</v>
      </c>
      <c r="C20" s="11" t="s">
        <v>222</v>
      </c>
      <c r="D20" s="12">
        <v>0</v>
      </c>
      <c r="E20" s="13">
        <v>80000</v>
      </c>
      <c r="F20" s="13">
        <v>-38000</v>
      </c>
      <c r="G20" s="14" t="s">
        <v>223</v>
      </c>
      <c r="H20" s="19">
        <f>Table4[[#This Row],[Credit (₹)]]-Table4[[#This Row],[Debit (₹)]]</f>
        <v>80000</v>
      </c>
      <c r="I20" t="s">
        <v>35</v>
      </c>
      <c r="J20" t="str">
        <f>_xlfn.XLOOKUP(Table4[[#This Row],[Subcategory]],Categories[Subcategory],Categories[Category],"Add Subcategory")</f>
        <v>Family Support &amp; Financial Aid</v>
      </c>
      <c r="K20" t="str">
        <f>_xlfn.XLOOKUP(Table4[[#This Row],[Subcategory]],Categories[Subcategory],Categories[Categorys Type],"Add Subcategory")</f>
        <v>Income</v>
      </c>
    </row>
    <row r="21" spans="1:11" x14ac:dyDescent="0.3">
      <c r="A21" t="s">
        <v>166</v>
      </c>
      <c r="B21" s="10">
        <v>45154</v>
      </c>
      <c r="C21" s="11" t="s">
        <v>55</v>
      </c>
      <c r="D21" s="13">
        <v>2000</v>
      </c>
      <c r="E21" s="12">
        <v>0</v>
      </c>
      <c r="F21" s="13">
        <v>1201</v>
      </c>
      <c r="G21" s="14" t="s">
        <v>56</v>
      </c>
      <c r="H21" s="19">
        <f>Table4[[#This Row],[Credit (₹)]]-Table4[[#This Row],[Debit (₹)]]</f>
        <v>-2000</v>
      </c>
      <c r="I21" t="s">
        <v>13</v>
      </c>
      <c r="J21" t="str">
        <f>_xlfn.XLOOKUP(Table4[[#This Row],[Subcategory]],Categories[Subcategory],Categories[Category],"Add Subcategory")</f>
        <v>Personal Care &amp; Lifestyle</v>
      </c>
      <c r="K21" t="str">
        <f>_xlfn.XLOOKUP(Table4[[#This Row],[Subcategory]],Categories[Subcategory],Categories[Categorys Type],"Add Subcategory")</f>
        <v>Expense</v>
      </c>
    </row>
    <row r="22" spans="1:11" x14ac:dyDescent="0.3">
      <c r="A22" t="s">
        <v>166</v>
      </c>
      <c r="B22" s="10">
        <v>45179</v>
      </c>
      <c r="C22" s="11" t="s">
        <v>57</v>
      </c>
      <c r="D22" s="12">
        <v>0</v>
      </c>
      <c r="E22" s="13">
        <v>5000</v>
      </c>
      <c r="F22" s="13">
        <v>6201</v>
      </c>
      <c r="G22" s="14" t="s">
        <v>58</v>
      </c>
      <c r="H22" s="19">
        <f>Table4[[#This Row],[Credit (₹)]]-Table4[[#This Row],[Debit (₹)]]</f>
        <v>5000</v>
      </c>
      <c r="I22" t="s">
        <v>36</v>
      </c>
      <c r="J22" t="str">
        <f>_xlfn.XLOOKUP(Table4[[#This Row],[Subcategory]],Categories[Subcategory],Categories[Category],"Add Subcategory")</f>
        <v>Family Support &amp; Financial Aid</v>
      </c>
      <c r="K22" t="str">
        <f>_xlfn.XLOOKUP(Table4[[#This Row],[Subcategory]],Categories[Subcategory],Categories[Categorys Type],"Add Subcategory")</f>
        <v>Income</v>
      </c>
    </row>
    <row r="23" spans="1:11" x14ac:dyDescent="0.3">
      <c r="A23" t="s">
        <v>166</v>
      </c>
      <c r="B23" s="10">
        <v>45188</v>
      </c>
      <c r="C23" s="11" t="s">
        <v>59</v>
      </c>
      <c r="D23" s="13">
        <v>1800</v>
      </c>
      <c r="E23" s="12">
        <v>0</v>
      </c>
      <c r="F23" s="13">
        <v>4401</v>
      </c>
      <c r="G23" s="14" t="s">
        <v>60</v>
      </c>
      <c r="H23" s="19">
        <f>Table4[[#This Row],[Credit (₹)]]-Table4[[#This Row],[Debit (₹)]]</f>
        <v>-1800</v>
      </c>
      <c r="I23" t="s">
        <v>7</v>
      </c>
      <c r="J23" t="str">
        <f>_xlfn.XLOOKUP(Table4[[#This Row],[Subcategory]],Categories[Subcategory],Categories[Category],"Add Subcategory")</f>
        <v>Academic / Education Expenses</v>
      </c>
      <c r="K23" t="str">
        <f>_xlfn.XLOOKUP(Table4[[#This Row],[Subcategory]],Categories[Subcategory],Categories[Categorys Type],"Add Subcategory")</f>
        <v>Expense</v>
      </c>
    </row>
    <row r="24" spans="1:11" x14ac:dyDescent="0.3">
      <c r="A24" t="s">
        <v>166</v>
      </c>
      <c r="B24" s="10">
        <v>45189</v>
      </c>
      <c r="C24" s="11" t="s">
        <v>61</v>
      </c>
      <c r="D24" s="12">
        <v>0</v>
      </c>
      <c r="E24" s="13">
        <v>10000</v>
      </c>
      <c r="F24" s="13">
        <v>14401</v>
      </c>
      <c r="G24" s="14" t="s">
        <v>46</v>
      </c>
      <c r="H24" s="19">
        <f>Table4[[#This Row],[Credit (₹)]]-Table4[[#This Row],[Debit (₹)]]</f>
        <v>10000</v>
      </c>
      <c r="I24" t="s">
        <v>34</v>
      </c>
      <c r="J24" t="str">
        <f>_xlfn.XLOOKUP(Table4[[#This Row],[Subcategory]],Categories[Subcategory],Categories[Category],"Add Subcategory")</f>
        <v>Family Support &amp; Financial Aid</v>
      </c>
      <c r="K24" t="str">
        <f>_xlfn.XLOOKUP(Table4[[#This Row],[Subcategory]],Categories[Subcategory],Categories[Categorys Type],"Add Subcategory")</f>
        <v>Income</v>
      </c>
    </row>
    <row r="25" spans="1:11" x14ac:dyDescent="0.3">
      <c r="A25" t="s">
        <v>166</v>
      </c>
      <c r="B25" s="10">
        <v>45197</v>
      </c>
      <c r="C25" s="11" t="s">
        <v>62</v>
      </c>
      <c r="D25" s="13">
        <v>6000</v>
      </c>
      <c r="E25" s="12">
        <v>0</v>
      </c>
      <c r="F25" s="13">
        <v>8401</v>
      </c>
      <c r="G25" s="14" t="s">
        <v>63</v>
      </c>
      <c r="H25" s="19">
        <f>Table4[[#This Row],[Credit (₹)]]-Table4[[#This Row],[Debit (₹)]]</f>
        <v>-6000</v>
      </c>
      <c r="I25" t="s">
        <v>3</v>
      </c>
      <c r="J25" t="str">
        <f>_xlfn.XLOOKUP(Table4[[#This Row],[Subcategory]],Categories[Subcategory],Categories[Category],"Add Subcategory")</f>
        <v>Accommodation &amp; Utilities</v>
      </c>
      <c r="K25" t="str">
        <f>_xlfn.XLOOKUP(Table4[[#This Row],[Subcategory]],Categories[Subcategory],Categories[Categorys Type],"Add Subcategory")</f>
        <v>Expense</v>
      </c>
    </row>
    <row r="26" spans="1:11" x14ac:dyDescent="0.3">
      <c r="A26" t="s">
        <v>213</v>
      </c>
      <c r="B26" s="10">
        <v>45197</v>
      </c>
      <c r="C26" s="11" t="s">
        <v>175</v>
      </c>
      <c r="D26" s="13">
        <v>499</v>
      </c>
      <c r="E26" s="12">
        <v>0</v>
      </c>
      <c r="F26" s="13">
        <v>746</v>
      </c>
      <c r="G26" s="14"/>
      <c r="H26" s="19">
        <f>Table4[[#This Row],[Credit (₹)]]-Table4[[#This Row],[Debit (₹)]]</f>
        <v>-499</v>
      </c>
      <c r="I26" t="s">
        <v>6</v>
      </c>
      <c r="J26" t="str">
        <f>_xlfn.XLOOKUP(Table4[[#This Row],[Subcategory]],Categories[Subcategory],Categories[Category],"Add Subcategory")</f>
        <v>Food &amp; Daily Living</v>
      </c>
      <c r="K26" t="str">
        <f>_xlfn.XLOOKUP(Table4[[#This Row],[Subcategory]],Categories[Subcategory],Categories[Categorys Type],"Add Subcategory")</f>
        <v>Expense</v>
      </c>
    </row>
    <row r="27" spans="1:11" x14ac:dyDescent="0.3">
      <c r="A27" t="s">
        <v>259</v>
      </c>
      <c r="B27" s="10">
        <v>45197</v>
      </c>
      <c r="C27" s="11" t="s">
        <v>224</v>
      </c>
      <c r="D27" s="13">
        <v>450</v>
      </c>
      <c r="E27" s="12">
        <v>0</v>
      </c>
      <c r="F27" s="13">
        <v>-38450</v>
      </c>
      <c r="G27" s="14"/>
      <c r="H27" s="19">
        <f>Table4[[#This Row],[Credit (₹)]]-Table4[[#This Row],[Debit (₹)]]</f>
        <v>-450</v>
      </c>
      <c r="I27" t="s">
        <v>8</v>
      </c>
      <c r="J27" t="str">
        <f>_xlfn.XLOOKUP(Table4[[#This Row],[Subcategory]],Categories[Subcategory],Categories[Category],"Add Subcategory")</f>
        <v>Academic / Education Expenses</v>
      </c>
      <c r="K27" t="str">
        <f>_xlfn.XLOOKUP(Table4[[#This Row],[Subcategory]],Categories[Subcategory],Categories[Categorys Type],"Add Subcategory")</f>
        <v>Expense</v>
      </c>
    </row>
    <row r="28" spans="1:11" x14ac:dyDescent="0.3">
      <c r="A28" t="s">
        <v>166</v>
      </c>
      <c r="B28" s="10">
        <v>45202</v>
      </c>
      <c r="C28" s="11" t="s">
        <v>8</v>
      </c>
      <c r="D28" s="13">
        <v>450</v>
      </c>
      <c r="E28" s="12">
        <v>0</v>
      </c>
      <c r="F28" s="13">
        <v>7951</v>
      </c>
      <c r="G28" s="14" t="s">
        <v>64</v>
      </c>
      <c r="H28" s="19">
        <f>Table4[[#This Row],[Credit (₹)]]-Table4[[#This Row],[Debit (₹)]]</f>
        <v>-450</v>
      </c>
      <c r="I28" t="s">
        <v>8</v>
      </c>
      <c r="J28" t="str">
        <f>_xlfn.XLOOKUP(Table4[[#This Row],[Subcategory]],Categories[Subcategory],Categories[Category],"Add Subcategory")</f>
        <v>Academic / Education Expenses</v>
      </c>
      <c r="K28" t="str">
        <f>_xlfn.XLOOKUP(Table4[[#This Row],[Subcategory]],Categories[Subcategory],Categories[Categorys Type],"Add Subcategory")</f>
        <v>Expense</v>
      </c>
    </row>
    <row r="29" spans="1:11" x14ac:dyDescent="0.3">
      <c r="A29" t="s">
        <v>259</v>
      </c>
      <c r="B29" s="10">
        <v>45202</v>
      </c>
      <c r="C29" s="11" t="s">
        <v>225</v>
      </c>
      <c r="D29" s="13">
        <v>900</v>
      </c>
      <c r="E29" s="12">
        <v>0</v>
      </c>
      <c r="F29" s="13">
        <v>-39350</v>
      </c>
      <c r="G29" s="14"/>
      <c r="H29" s="19">
        <f>Table4[[#This Row],[Credit (₹)]]-Table4[[#This Row],[Debit (₹)]]</f>
        <v>-900</v>
      </c>
      <c r="I29" t="s">
        <v>6</v>
      </c>
      <c r="J29" t="str">
        <f>_xlfn.XLOOKUP(Table4[[#This Row],[Subcategory]],Categories[Subcategory],Categories[Category],"Add Subcategory")</f>
        <v>Food &amp; Daily Living</v>
      </c>
      <c r="K29" t="str">
        <f>_xlfn.XLOOKUP(Table4[[#This Row],[Subcategory]],Categories[Subcategory],Categories[Categorys Type],"Add Subcategory")</f>
        <v>Expense</v>
      </c>
    </row>
    <row r="30" spans="1:11" x14ac:dyDescent="0.3">
      <c r="A30" t="s">
        <v>166</v>
      </c>
      <c r="B30" s="10">
        <v>45203</v>
      </c>
      <c r="C30" s="11" t="s">
        <v>65</v>
      </c>
      <c r="D30" s="13">
        <v>4000</v>
      </c>
      <c r="E30" s="12">
        <v>0</v>
      </c>
      <c r="F30" s="13">
        <v>3951</v>
      </c>
      <c r="G30" s="14" t="s">
        <v>52</v>
      </c>
      <c r="H30" s="19">
        <f>Table4[[#This Row],[Credit (₹)]]-Table4[[#This Row],[Debit (₹)]]</f>
        <v>-4000</v>
      </c>
      <c r="I30" t="s">
        <v>5</v>
      </c>
      <c r="J30" t="str">
        <f>_xlfn.XLOOKUP(Table4[[#This Row],[Subcategory]],Categories[Subcategory],Categories[Category],"Add Subcategory")</f>
        <v>Food &amp; Daily Living</v>
      </c>
      <c r="K30" t="str">
        <f>_xlfn.XLOOKUP(Table4[[#This Row],[Subcategory]],Categories[Subcategory],Categories[Categorys Type],"Add Subcategory")</f>
        <v>Expense</v>
      </c>
    </row>
    <row r="31" spans="1:11" x14ac:dyDescent="0.3">
      <c r="A31" t="s">
        <v>213</v>
      </c>
      <c r="B31" s="10">
        <v>45203</v>
      </c>
      <c r="C31" s="11" t="s">
        <v>176</v>
      </c>
      <c r="D31" s="13">
        <v>199</v>
      </c>
      <c r="E31" s="12">
        <v>0</v>
      </c>
      <c r="F31" s="13">
        <v>945</v>
      </c>
      <c r="G31" s="14" t="s">
        <v>177</v>
      </c>
      <c r="H31" s="19">
        <f>Table4[[#This Row],[Credit (₹)]]-Table4[[#This Row],[Debit (₹)]]</f>
        <v>-199</v>
      </c>
      <c r="I31" t="s">
        <v>20</v>
      </c>
      <c r="J31" t="str">
        <f>_xlfn.XLOOKUP(Table4[[#This Row],[Subcategory]],Categories[Subcategory],Categories[Category],"Add Subcategory")</f>
        <v>Personal Care &amp; Lifestyle</v>
      </c>
      <c r="K31" t="str">
        <f>_xlfn.XLOOKUP(Table4[[#This Row],[Subcategory]],Categories[Subcategory],Categories[Categorys Type],"Add Subcategory")</f>
        <v>Expense</v>
      </c>
    </row>
    <row r="32" spans="1:11" x14ac:dyDescent="0.3">
      <c r="A32" t="s">
        <v>259</v>
      </c>
      <c r="B32" s="10">
        <v>45203</v>
      </c>
      <c r="C32" s="11" t="s">
        <v>226</v>
      </c>
      <c r="D32" s="12">
        <v>0</v>
      </c>
      <c r="E32" s="13">
        <v>5000</v>
      </c>
      <c r="F32" s="13">
        <v>-34350</v>
      </c>
      <c r="G32" s="14"/>
      <c r="H32" s="19">
        <f>Table4[[#This Row],[Credit (₹)]]-Table4[[#This Row],[Debit (₹)]]</f>
        <v>5000</v>
      </c>
      <c r="I32" t="s">
        <v>36</v>
      </c>
      <c r="J32" t="str">
        <f>_xlfn.XLOOKUP(Table4[[#This Row],[Subcategory]],Categories[Subcategory],Categories[Category],"Add Subcategory")</f>
        <v>Family Support &amp; Financial Aid</v>
      </c>
      <c r="K32" t="str">
        <f>_xlfn.XLOOKUP(Table4[[#This Row],[Subcategory]],Categories[Subcategory],Categories[Categorys Type],"Add Subcategory")</f>
        <v>Income</v>
      </c>
    </row>
    <row r="33" spans="1:11" x14ac:dyDescent="0.3">
      <c r="A33" t="s">
        <v>166</v>
      </c>
      <c r="B33" s="10">
        <v>45207</v>
      </c>
      <c r="C33" s="11" t="s">
        <v>66</v>
      </c>
      <c r="D33" s="13">
        <v>800</v>
      </c>
      <c r="E33" s="12">
        <v>0</v>
      </c>
      <c r="F33" s="13">
        <v>3151</v>
      </c>
      <c r="G33" s="14" t="s">
        <v>67</v>
      </c>
      <c r="H33" s="19">
        <f>Table4[[#This Row],[Credit (₹)]]-Table4[[#This Row],[Debit (₹)]]</f>
        <v>-800</v>
      </c>
      <c r="I33" t="s">
        <v>4</v>
      </c>
      <c r="J33" t="str">
        <f>_xlfn.XLOOKUP(Table4[[#This Row],[Subcategory]],Categories[Subcategory],Categories[Category],"Add Subcategory")</f>
        <v>Accommodation &amp; Utilities</v>
      </c>
      <c r="K33" t="str">
        <f>_xlfn.XLOOKUP(Table4[[#This Row],[Subcategory]],Categories[Subcategory],Categories[Categorys Type],"Add Subcategory")</f>
        <v>Expense</v>
      </c>
    </row>
    <row r="34" spans="1:11" x14ac:dyDescent="0.3">
      <c r="A34" t="s">
        <v>259</v>
      </c>
      <c r="B34" s="10">
        <v>45207</v>
      </c>
      <c r="C34" s="11" t="s">
        <v>227</v>
      </c>
      <c r="D34" s="13">
        <v>1000</v>
      </c>
      <c r="E34" s="12">
        <v>0</v>
      </c>
      <c r="F34" s="13">
        <v>-35350</v>
      </c>
      <c r="G34" s="14" t="s">
        <v>228</v>
      </c>
      <c r="H34" s="19">
        <f>Table4[[#This Row],[Credit (₹)]]-Table4[[#This Row],[Debit (₹)]]</f>
        <v>-1000</v>
      </c>
      <c r="I34" t="s">
        <v>11</v>
      </c>
      <c r="J34" t="str">
        <f>_xlfn.XLOOKUP(Table4[[#This Row],[Subcategory]],Categories[Subcategory],Categories[Category],"Add Subcategory")</f>
        <v>Transport &amp; Travel</v>
      </c>
      <c r="K34" t="str">
        <f>_xlfn.XLOOKUP(Table4[[#This Row],[Subcategory]],Categories[Subcategory],Categories[Categorys Type],"Add Subcategory")</f>
        <v>Expense</v>
      </c>
    </row>
    <row r="35" spans="1:11" x14ac:dyDescent="0.3">
      <c r="A35" t="s">
        <v>166</v>
      </c>
      <c r="B35" s="10">
        <v>45211</v>
      </c>
      <c r="C35" s="11" t="s">
        <v>68</v>
      </c>
      <c r="D35" s="13">
        <v>1999</v>
      </c>
      <c r="E35" s="12">
        <v>0</v>
      </c>
      <c r="F35" s="13">
        <v>1152</v>
      </c>
      <c r="G35" s="14" t="s">
        <v>69</v>
      </c>
      <c r="H35" s="19">
        <f>Table4[[#This Row],[Credit (₹)]]-Table4[[#This Row],[Debit (₹)]]</f>
        <v>-1999</v>
      </c>
      <c r="I35" t="s">
        <v>9</v>
      </c>
      <c r="J35" t="str">
        <f>_xlfn.XLOOKUP(Table4[[#This Row],[Subcategory]],Categories[Subcategory],Categories[Category],"Add Subcategory")</f>
        <v>Academic / Education Expenses</v>
      </c>
      <c r="K35" t="str">
        <f>_xlfn.XLOOKUP(Table4[[#This Row],[Subcategory]],Categories[Subcategory],Categories[Categorys Type],"Add Subcategory")</f>
        <v>Expense</v>
      </c>
    </row>
    <row r="36" spans="1:11" x14ac:dyDescent="0.3">
      <c r="A36" t="s">
        <v>166</v>
      </c>
      <c r="B36" s="10">
        <v>45212</v>
      </c>
      <c r="C36" s="11" t="s">
        <v>70</v>
      </c>
      <c r="D36" s="13">
        <v>1000</v>
      </c>
      <c r="E36" s="12">
        <v>0</v>
      </c>
      <c r="F36" s="13">
        <v>152</v>
      </c>
      <c r="G36" s="14" t="s">
        <v>71</v>
      </c>
      <c r="H36" s="19">
        <f>Table4[[#This Row],[Credit (₹)]]-Table4[[#This Row],[Debit (₹)]]</f>
        <v>-1000</v>
      </c>
      <c r="I36" t="s">
        <v>10</v>
      </c>
      <c r="J36" t="str">
        <f>_xlfn.XLOOKUP(Table4[[#This Row],[Subcategory]],Categories[Subcategory],Categories[Category],"Add Subcategory")</f>
        <v>Transport &amp; Travel</v>
      </c>
      <c r="K36" t="str">
        <f>_xlfn.XLOOKUP(Table4[[#This Row],[Subcategory]],Categories[Subcategory],Categories[Categorys Type],"Add Subcategory")</f>
        <v>Expense</v>
      </c>
    </row>
    <row r="37" spans="1:11" x14ac:dyDescent="0.3">
      <c r="A37" t="s">
        <v>166</v>
      </c>
      <c r="B37" s="10">
        <v>45212</v>
      </c>
      <c r="C37" s="11" t="s">
        <v>72</v>
      </c>
      <c r="D37" s="12">
        <v>0</v>
      </c>
      <c r="E37" s="13">
        <v>10000</v>
      </c>
      <c r="F37" s="13">
        <v>10152</v>
      </c>
      <c r="G37" s="14" t="s">
        <v>46</v>
      </c>
      <c r="H37" s="19">
        <f>Table4[[#This Row],[Credit (₹)]]-Table4[[#This Row],[Debit (₹)]]</f>
        <v>10000</v>
      </c>
      <c r="I37" t="s">
        <v>34</v>
      </c>
      <c r="J37" t="str">
        <f>_xlfn.XLOOKUP(Table4[[#This Row],[Subcategory]],Categories[Subcategory],Categories[Category],"Add Subcategory")</f>
        <v>Family Support &amp; Financial Aid</v>
      </c>
      <c r="K37" t="str">
        <f>_xlfn.XLOOKUP(Table4[[#This Row],[Subcategory]],Categories[Subcategory],Categories[Categorys Type],"Add Subcategory")</f>
        <v>Income</v>
      </c>
    </row>
    <row r="38" spans="1:11" x14ac:dyDescent="0.3">
      <c r="A38" t="s">
        <v>213</v>
      </c>
      <c r="B38" s="10">
        <v>45212</v>
      </c>
      <c r="C38" s="11" t="s">
        <v>178</v>
      </c>
      <c r="D38" s="13">
        <v>500</v>
      </c>
      <c r="E38" s="12">
        <v>0</v>
      </c>
      <c r="F38" s="13">
        <v>1445</v>
      </c>
      <c r="G38" s="14"/>
      <c r="H38" s="19">
        <f>Table4[[#This Row],[Credit (₹)]]-Table4[[#This Row],[Debit (₹)]]</f>
        <v>-500</v>
      </c>
      <c r="I38" t="s">
        <v>10</v>
      </c>
      <c r="J38" t="str">
        <f>_xlfn.XLOOKUP(Table4[[#This Row],[Subcategory]],Categories[Subcategory],Categories[Category],"Add Subcategory")</f>
        <v>Transport &amp; Travel</v>
      </c>
      <c r="K38" t="str">
        <f>_xlfn.XLOOKUP(Table4[[#This Row],[Subcategory]],Categories[Subcategory],Categories[Categorys Type],"Add Subcategory")</f>
        <v>Expense</v>
      </c>
    </row>
    <row r="39" spans="1:11" x14ac:dyDescent="0.3">
      <c r="A39" t="s">
        <v>259</v>
      </c>
      <c r="B39" s="10">
        <v>45212</v>
      </c>
      <c r="C39" s="11" t="s">
        <v>229</v>
      </c>
      <c r="D39" s="12">
        <v>0</v>
      </c>
      <c r="E39" s="13">
        <v>10000</v>
      </c>
      <c r="F39" s="13">
        <v>-25350</v>
      </c>
      <c r="G39" s="14"/>
      <c r="H39" s="19">
        <f>Table4[[#This Row],[Credit (₹)]]-Table4[[#This Row],[Debit (₹)]]</f>
        <v>10000</v>
      </c>
      <c r="I39" t="s">
        <v>34</v>
      </c>
      <c r="J39" t="str">
        <f>_xlfn.XLOOKUP(Table4[[#This Row],[Subcategory]],Categories[Subcategory],Categories[Category],"Add Subcategory")</f>
        <v>Family Support &amp; Financial Aid</v>
      </c>
      <c r="K39" t="str">
        <f>_xlfn.XLOOKUP(Table4[[#This Row],[Subcategory]],Categories[Subcategory],Categories[Categorys Type],"Add Subcategory")</f>
        <v>Income</v>
      </c>
    </row>
    <row r="40" spans="1:11" x14ac:dyDescent="0.3">
      <c r="A40" t="s">
        <v>259</v>
      </c>
      <c r="B40" s="10">
        <v>45212</v>
      </c>
      <c r="C40" s="11" t="s">
        <v>230</v>
      </c>
      <c r="D40" s="13">
        <v>4000</v>
      </c>
      <c r="E40" s="12">
        <v>0</v>
      </c>
      <c r="F40" s="13">
        <v>-29350</v>
      </c>
      <c r="G40" s="14"/>
      <c r="H40" s="19">
        <f>Table4[[#This Row],[Credit (₹)]]-Table4[[#This Row],[Debit (₹)]]</f>
        <v>-4000</v>
      </c>
      <c r="I40" t="s">
        <v>5</v>
      </c>
      <c r="J40" t="str">
        <f>_xlfn.XLOOKUP(Table4[[#This Row],[Subcategory]],Categories[Subcategory],Categories[Category],"Add Subcategory")</f>
        <v>Food &amp; Daily Living</v>
      </c>
      <c r="K40" t="str">
        <f>_xlfn.XLOOKUP(Table4[[#This Row],[Subcategory]],Categories[Subcategory],Categories[Categorys Type],"Add Subcategory")</f>
        <v>Expense</v>
      </c>
    </row>
    <row r="41" spans="1:11" x14ac:dyDescent="0.3">
      <c r="A41" t="s">
        <v>166</v>
      </c>
      <c r="B41" s="10">
        <v>45222</v>
      </c>
      <c r="C41" s="11" t="s">
        <v>73</v>
      </c>
      <c r="D41" s="13">
        <v>6000</v>
      </c>
      <c r="E41" s="12">
        <v>0</v>
      </c>
      <c r="F41" s="13">
        <v>4152</v>
      </c>
      <c r="G41" s="14" t="s">
        <v>74</v>
      </c>
      <c r="H41" s="19">
        <f>Table4[[#This Row],[Credit (₹)]]-Table4[[#This Row],[Debit (₹)]]</f>
        <v>-6000</v>
      </c>
      <c r="I41" t="s">
        <v>3</v>
      </c>
      <c r="J41" t="str">
        <f>_xlfn.XLOOKUP(Table4[[#This Row],[Subcategory]],Categories[Subcategory],Categories[Category],"Add Subcategory")</f>
        <v>Accommodation &amp; Utilities</v>
      </c>
      <c r="K41" t="str">
        <f>_xlfn.XLOOKUP(Table4[[#This Row],[Subcategory]],Categories[Subcategory],Categories[Categorys Type],"Add Subcategory")</f>
        <v>Expense</v>
      </c>
    </row>
    <row r="42" spans="1:11" x14ac:dyDescent="0.3">
      <c r="A42" t="s">
        <v>213</v>
      </c>
      <c r="B42" s="10">
        <v>45222</v>
      </c>
      <c r="C42" s="11" t="s">
        <v>179</v>
      </c>
      <c r="D42" s="13">
        <v>350</v>
      </c>
      <c r="E42" s="12">
        <v>0</v>
      </c>
      <c r="F42" s="13">
        <v>1795</v>
      </c>
      <c r="G42" s="14"/>
      <c r="H42" s="19">
        <f>Table4[[#This Row],[Credit (₹)]]-Table4[[#This Row],[Debit (₹)]]</f>
        <v>-350</v>
      </c>
      <c r="I42" t="s">
        <v>13</v>
      </c>
      <c r="J42" t="str">
        <f>_xlfn.XLOOKUP(Table4[[#This Row],[Subcategory]],Categories[Subcategory],Categories[Category],"Add Subcategory")</f>
        <v>Personal Care &amp; Lifestyle</v>
      </c>
      <c r="K42" t="str">
        <f>_xlfn.XLOOKUP(Table4[[#This Row],[Subcategory]],Categories[Subcategory],Categories[Categorys Type],"Add Subcategory")</f>
        <v>Expense</v>
      </c>
    </row>
    <row r="43" spans="1:11" x14ac:dyDescent="0.3">
      <c r="A43" t="s">
        <v>259</v>
      </c>
      <c r="B43" s="10">
        <v>45222</v>
      </c>
      <c r="C43" s="11" t="s">
        <v>231</v>
      </c>
      <c r="D43" s="13">
        <v>6000</v>
      </c>
      <c r="E43" s="12">
        <v>0</v>
      </c>
      <c r="F43" s="13">
        <v>-35350</v>
      </c>
      <c r="G43" s="14"/>
      <c r="H43" s="19">
        <f>Table4[[#This Row],[Credit (₹)]]-Table4[[#This Row],[Debit (₹)]]</f>
        <v>-6000</v>
      </c>
      <c r="I43" t="s">
        <v>3</v>
      </c>
      <c r="J43" t="str">
        <f>_xlfn.XLOOKUP(Table4[[#This Row],[Subcategory]],Categories[Subcategory],Categories[Category],"Add Subcategory")</f>
        <v>Accommodation &amp; Utilities</v>
      </c>
      <c r="K43" t="str">
        <f>_xlfn.XLOOKUP(Table4[[#This Row],[Subcategory]],Categories[Subcategory],Categories[Categorys Type],"Add Subcategory")</f>
        <v>Expense</v>
      </c>
    </row>
    <row r="44" spans="1:11" x14ac:dyDescent="0.3">
      <c r="A44" t="s">
        <v>166</v>
      </c>
      <c r="B44" s="10">
        <v>45235</v>
      </c>
      <c r="C44" s="11" t="s">
        <v>75</v>
      </c>
      <c r="D44" s="13">
        <v>4000</v>
      </c>
      <c r="E44" s="12">
        <v>0</v>
      </c>
      <c r="F44" s="13">
        <v>152</v>
      </c>
      <c r="G44" s="14" t="s">
        <v>52</v>
      </c>
      <c r="H44" s="19">
        <f>Table4[[#This Row],[Credit (₹)]]-Table4[[#This Row],[Debit (₹)]]</f>
        <v>-4000</v>
      </c>
      <c r="I44" t="s">
        <v>5</v>
      </c>
      <c r="J44" t="str">
        <f>_xlfn.XLOOKUP(Table4[[#This Row],[Subcategory]],Categories[Subcategory],Categories[Category],"Add Subcategory")</f>
        <v>Food &amp; Daily Living</v>
      </c>
      <c r="K44" t="str">
        <f>_xlfn.XLOOKUP(Table4[[#This Row],[Subcategory]],Categories[Subcategory],Categories[Categorys Type],"Add Subcategory")</f>
        <v>Expense</v>
      </c>
    </row>
    <row r="45" spans="1:11" x14ac:dyDescent="0.3">
      <c r="A45" t="s">
        <v>259</v>
      </c>
      <c r="B45" s="10">
        <v>45235</v>
      </c>
      <c r="C45" s="11" t="s">
        <v>232</v>
      </c>
      <c r="D45" s="13">
        <v>10000</v>
      </c>
      <c r="E45" s="12">
        <v>0</v>
      </c>
      <c r="F45" s="13">
        <v>-45350</v>
      </c>
      <c r="G45" s="14"/>
      <c r="H45" s="19">
        <f>Table4[[#This Row],[Credit (₹)]]-Table4[[#This Row],[Debit (₹)]]</f>
        <v>-10000</v>
      </c>
      <c r="I45" t="s">
        <v>1</v>
      </c>
      <c r="J45" t="str">
        <f>_xlfn.XLOOKUP(Table4[[#This Row],[Subcategory]],Categories[Subcategory],Categories[Category],"Add Subcategory")</f>
        <v>Academic / Education Expenses</v>
      </c>
      <c r="K45" t="str">
        <f>_xlfn.XLOOKUP(Table4[[#This Row],[Subcategory]],Categories[Subcategory],Categories[Categorys Type],"Add Subcategory")</f>
        <v>Expense</v>
      </c>
    </row>
    <row r="46" spans="1:11" x14ac:dyDescent="0.3">
      <c r="A46" t="s">
        <v>166</v>
      </c>
      <c r="B46" s="10">
        <v>45250</v>
      </c>
      <c r="C46" s="11" t="s">
        <v>76</v>
      </c>
      <c r="D46" s="13">
        <v>380</v>
      </c>
      <c r="E46" s="12">
        <v>0</v>
      </c>
      <c r="F46" s="13">
        <v>-228</v>
      </c>
      <c r="G46" s="14" t="s">
        <v>77</v>
      </c>
      <c r="H46" s="19">
        <f>Table4[[#This Row],[Credit (₹)]]-Table4[[#This Row],[Debit (₹)]]</f>
        <v>-380</v>
      </c>
      <c r="I46" t="s">
        <v>16</v>
      </c>
      <c r="J46" t="str">
        <f>_xlfn.XLOOKUP(Table4[[#This Row],[Subcategory]],Categories[Subcategory],Categories[Category],"Add Subcategory")</f>
        <v>Health &amp; Medical</v>
      </c>
      <c r="K46" t="str">
        <f>_xlfn.XLOOKUP(Table4[[#This Row],[Subcategory]],Categories[Subcategory],Categories[Categorys Type],"Add Subcategory")</f>
        <v>Expense</v>
      </c>
    </row>
    <row r="47" spans="1:11" x14ac:dyDescent="0.3">
      <c r="A47" t="s">
        <v>213</v>
      </c>
      <c r="B47" s="10">
        <v>45250</v>
      </c>
      <c r="C47" s="11" t="s">
        <v>180</v>
      </c>
      <c r="D47" s="13">
        <v>299</v>
      </c>
      <c r="E47" s="12">
        <v>0</v>
      </c>
      <c r="F47" s="13">
        <v>2094</v>
      </c>
      <c r="G47" s="14"/>
      <c r="H47" s="19">
        <f>Table4[[#This Row],[Credit (₹)]]-Table4[[#This Row],[Debit (₹)]]</f>
        <v>-299</v>
      </c>
      <c r="I47" t="s">
        <v>16</v>
      </c>
      <c r="J47" t="str">
        <f>_xlfn.XLOOKUP(Table4[[#This Row],[Subcategory]],Categories[Subcategory],Categories[Category],"Add Subcategory")</f>
        <v>Health &amp; Medical</v>
      </c>
      <c r="K47" t="str">
        <f>_xlfn.XLOOKUP(Table4[[#This Row],[Subcategory]],Categories[Subcategory],Categories[Categorys Type],"Add Subcategory")</f>
        <v>Expense</v>
      </c>
    </row>
    <row r="48" spans="1:11" x14ac:dyDescent="0.3">
      <c r="A48" t="s">
        <v>259</v>
      </c>
      <c r="B48" s="10">
        <v>45250</v>
      </c>
      <c r="C48" s="11" t="s">
        <v>233</v>
      </c>
      <c r="D48" s="13">
        <v>380</v>
      </c>
      <c r="E48" s="12">
        <v>0</v>
      </c>
      <c r="F48" s="13">
        <v>-45730</v>
      </c>
      <c r="G48" s="14"/>
      <c r="H48" s="19">
        <f>Table4[[#This Row],[Credit (₹)]]-Table4[[#This Row],[Debit (₹)]]</f>
        <v>-380</v>
      </c>
      <c r="I48" t="s">
        <v>16</v>
      </c>
      <c r="J48" t="str">
        <f>_xlfn.XLOOKUP(Table4[[#This Row],[Subcategory]],Categories[Subcategory],Categories[Category],"Add Subcategory")</f>
        <v>Health &amp; Medical</v>
      </c>
      <c r="K48" t="str">
        <f>_xlfn.XLOOKUP(Table4[[#This Row],[Subcategory]],Categories[Subcategory],Categories[Categorys Type],"Add Subcategory")</f>
        <v>Expense</v>
      </c>
    </row>
    <row r="49" spans="1:11" x14ac:dyDescent="0.3">
      <c r="A49" t="s">
        <v>166</v>
      </c>
      <c r="B49" s="10">
        <v>45267</v>
      </c>
      <c r="C49" s="11" t="s">
        <v>55</v>
      </c>
      <c r="D49" s="13">
        <v>1500</v>
      </c>
      <c r="E49" s="12">
        <v>0</v>
      </c>
      <c r="F49" s="13">
        <v>-1728</v>
      </c>
      <c r="G49" s="14"/>
      <c r="H49" s="19">
        <f>Table4[[#This Row],[Credit (₹)]]-Table4[[#This Row],[Debit (₹)]]</f>
        <v>-1500</v>
      </c>
      <c r="I49" t="s">
        <v>23</v>
      </c>
      <c r="J49" t="str">
        <f>_xlfn.XLOOKUP(Table4[[#This Row],[Subcategory]],Categories[Subcategory],Categories[Category],"Add Subcategory")</f>
        <v>Other Expences</v>
      </c>
      <c r="K49" t="str">
        <f>_xlfn.XLOOKUP(Table4[[#This Row],[Subcategory]],Categories[Subcategory],Categories[Categorys Type],"Add Subcategory")</f>
        <v>Expense</v>
      </c>
    </row>
    <row r="50" spans="1:11" x14ac:dyDescent="0.3">
      <c r="A50" t="s">
        <v>213</v>
      </c>
      <c r="B50" s="10">
        <v>45267</v>
      </c>
      <c r="C50" s="11" t="s">
        <v>181</v>
      </c>
      <c r="D50" s="12">
        <v>0</v>
      </c>
      <c r="E50" s="13">
        <v>3000</v>
      </c>
      <c r="F50" s="13">
        <v>-906</v>
      </c>
      <c r="G50" s="14"/>
      <c r="H50" s="19">
        <f>Table4[[#This Row],[Credit (₹)]]-Table4[[#This Row],[Debit (₹)]]</f>
        <v>3000</v>
      </c>
      <c r="I50" t="s">
        <v>35</v>
      </c>
      <c r="J50" t="str">
        <f>_xlfn.XLOOKUP(Table4[[#This Row],[Subcategory]],Categories[Subcategory],Categories[Category],"Add Subcategory")</f>
        <v>Family Support &amp; Financial Aid</v>
      </c>
      <c r="K50" t="str">
        <f>_xlfn.XLOOKUP(Table4[[#This Row],[Subcategory]],Categories[Subcategory],Categories[Categorys Type],"Add Subcategory")</f>
        <v>Income</v>
      </c>
    </row>
    <row r="51" spans="1:11" x14ac:dyDescent="0.3">
      <c r="A51" t="s">
        <v>259</v>
      </c>
      <c r="B51" s="10">
        <v>45267</v>
      </c>
      <c r="C51" s="11" t="s">
        <v>229</v>
      </c>
      <c r="D51" s="12">
        <v>0</v>
      </c>
      <c r="E51" s="13">
        <v>10000</v>
      </c>
      <c r="F51" s="13">
        <v>-35730</v>
      </c>
      <c r="G51" s="14"/>
      <c r="H51" s="19">
        <f>Table4[[#This Row],[Credit (₹)]]-Table4[[#This Row],[Debit (₹)]]</f>
        <v>10000</v>
      </c>
      <c r="I51" t="s">
        <v>34</v>
      </c>
      <c r="J51" t="str">
        <f>_xlfn.XLOOKUP(Table4[[#This Row],[Subcategory]],Categories[Subcategory],Categories[Category],"Add Subcategory")</f>
        <v>Family Support &amp; Financial Aid</v>
      </c>
      <c r="K51" t="str">
        <f>_xlfn.XLOOKUP(Table4[[#This Row],[Subcategory]],Categories[Subcategory],Categories[Categorys Type],"Add Subcategory")</f>
        <v>Income</v>
      </c>
    </row>
    <row r="52" spans="1:11" x14ac:dyDescent="0.3">
      <c r="A52" t="s">
        <v>166</v>
      </c>
      <c r="B52" s="10">
        <v>45271</v>
      </c>
      <c r="C52" s="11" t="s">
        <v>78</v>
      </c>
      <c r="D52" s="13">
        <v>10000</v>
      </c>
      <c r="E52" s="12">
        <v>0</v>
      </c>
      <c r="F52" s="13">
        <v>-11728</v>
      </c>
      <c r="G52" s="14" t="s">
        <v>79</v>
      </c>
      <c r="H52" s="19">
        <f>Table4[[#This Row],[Credit (₹)]]-Table4[[#This Row],[Debit (₹)]]</f>
        <v>-10000</v>
      </c>
      <c r="I52" t="s">
        <v>1</v>
      </c>
      <c r="J52" t="str">
        <f>_xlfn.XLOOKUP(Table4[[#This Row],[Subcategory]],Categories[Subcategory],Categories[Category],"Add Subcategory")</f>
        <v>Academic / Education Expenses</v>
      </c>
      <c r="K52" t="str">
        <f>_xlfn.XLOOKUP(Table4[[#This Row],[Subcategory]],Categories[Subcategory],Categories[Categorys Type],"Add Subcategory")</f>
        <v>Expense</v>
      </c>
    </row>
    <row r="53" spans="1:11" x14ac:dyDescent="0.3">
      <c r="A53" t="s">
        <v>213</v>
      </c>
      <c r="B53" s="10">
        <v>45271</v>
      </c>
      <c r="C53" s="11" t="s">
        <v>182</v>
      </c>
      <c r="D53" s="13">
        <v>1899</v>
      </c>
      <c r="E53" s="12">
        <v>0</v>
      </c>
      <c r="F53" s="13">
        <v>993</v>
      </c>
      <c r="G53" s="14" t="s">
        <v>183</v>
      </c>
      <c r="H53" s="19">
        <f>Table4[[#This Row],[Credit (₹)]]-Table4[[#This Row],[Debit (₹)]]</f>
        <v>-1899</v>
      </c>
      <c r="I53" t="s">
        <v>12</v>
      </c>
      <c r="J53" t="str">
        <f>_xlfn.XLOOKUP(Table4[[#This Row],[Subcategory]],Categories[Subcategory],Categories[Category],"Add Subcategory")</f>
        <v>Personal Care &amp; Lifestyle</v>
      </c>
      <c r="K53" t="str">
        <f>_xlfn.XLOOKUP(Table4[[#This Row],[Subcategory]],Categories[Subcategory],Categories[Categorys Type],"Add Subcategory")</f>
        <v>Expense</v>
      </c>
    </row>
    <row r="54" spans="1:11" x14ac:dyDescent="0.3">
      <c r="A54" t="s">
        <v>259</v>
      </c>
      <c r="B54" s="10">
        <v>45271</v>
      </c>
      <c r="C54" s="11" t="s">
        <v>230</v>
      </c>
      <c r="D54" s="13">
        <v>4000</v>
      </c>
      <c r="E54" s="12">
        <v>0</v>
      </c>
      <c r="F54" s="13">
        <v>-39730</v>
      </c>
      <c r="G54" s="14"/>
      <c r="H54" s="19">
        <f>Table4[[#This Row],[Credit (₹)]]-Table4[[#This Row],[Debit (₹)]]</f>
        <v>-4000</v>
      </c>
      <c r="I54" t="s">
        <v>5</v>
      </c>
      <c r="J54" t="str">
        <f>_xlfn.XLOOKUP(Table4[[#This Row],[Subcategory]],Categories[Subcategory],Categories[Category],"Add Subcategory")</f>
        <v>Food &amp; Daily Living</v>
      </c>
      <c r="K54" t="str">
        <f>_xlfn.XLOOKUP(Table4[[#This Row],[Subcategory]],Categories[Subcategory],Categories[Categorys Type],"Add Subcategory")</f>
        <v>Expense</v>
      </c>
    </row>
    <row r="55" spans="1:11" x14ac:dyDescent="0.3">
      <c r="A55" t="s">
        <v>166</v>
      </c>
      <c r="B55" s="10">
        <v>45274</v>
      </c>
      <c r="C55" s="11" t="s">
        <v>80</v>
      </c>
      <c r="D55" s="12">
        <v>0</v>
      </c>
      <c r="E55" s="13">
        <v>10000</v>
      </c>
      <c r="F55" s="13">
        <v>-1728</v>
      </c>
      <c r="G55" s="14" t="s">
        <v>46</v>
      </c>
      <c r="H55" s="19">
        <f>Table4[[#This Row],[Credit (₹)]]-Table4[[#This Row],[Debit (₹)]]</f>
        <v>10000</v>
      </c>
      <c r="I55" t="s">
        <v>34</v>
      </c>
      <c r="J55" t="str">
        <f>_xlfn.XLOOKUP(Table4[[#This Row],[Subcategory]],Categories[Subcategory],Categories[Category],"Add Subcategory")</f>
        <v>Family Support &amp; Financial Aid</v>
      </c>
      <c r="K55" t="str">
        <f>_xlfn.XLOOKUP(Table4[[#This Row],[Subcategory]],Categories[Subcategory],Categories[Categorys Type],"Add Subcategory")</f>
        <v>Income</v>
      </c>
    </row>
    <row r="56" spans="1:11" x14ac:dyDescent="0.3">
      <c r="A56" t="s">
        <v>166</v>
      </c>
      <c r="B56" s="10">
        <v>45304</v>
      </c>
      <c r="C56" s="11" t="s">
        <v>81</v>
      </c>
      <c r="D56" s="13">
        <v>6000</v>
      </c>
      <c r="E56" s="12">
        <v>0</v>
      </c>
      <c r="F56" s="13">
        <v>-7728</v>
      </c>
      <c r="G56" s="14" t="s">
        <v>82</v>
      </c>
      <c r="H56" s="19">
        <f>Table4[[#This Row],[Credit (₹)]]-Table4[[#This Row],[Debit (₹)]]</f>
        <v>-6000</v>
      </c>
      <c r="I56" t="s">
        <v>3</v>
      </c>
      <c r="J56" t="str">
        <f>_xlfn.XLOOKUP(Table4[[#This Row],[Subcategory]],Categories[Subcategory],Categories[Category],"Add Subcategory")</f>
        <v>Accommodation &amp; Utilities</v>
      </c>
      <c r="K56" t="str">
        <f>_xlfn.XLOOKUP(Table4[[#This Row],[Subcategory]],Categories[Subcategory],Categories[Categorys Type],"Add Subcategory")</f>
        <v>Expense</v>
      </c>
    </row>
    <row r="57" spans="1:11" x14ac:dyDescent="0.3">
      <c r="A57" t="s">
        <v>166</v>
      </c>
      <c r="B57" s="10">
        <v>45311</v>
      </c>
      <c r="C57" s="11" t="s">
        <v>83</v>
      </c>
      <c r="D57" s="13">
        <v>4000</v>
      </c>
      <c r="E57" s="12">
        <v>0</v>
      </c>
      <c r="F57" s="13">
        <v>-11728</v>
      </c>
      <c r="G57" s="14" t="s">
        <v>52</v>
      </c>
      <c r="H57" s="19">
        <f>Table4[[#This Row],[Credit (₹)]]-Table4[[#This Row],[Debit (₹)]]</f>
        <v>-4000</v>
      </c>
      <c r="I57" t="s">
        <v>5</v>
      </c>
      <c r="J57" t="str">
        <f>_xlfn.XLOOKUP(Table4[[#This Row],[Subcategory]],Categories[Subcategory],Categories[Category],"Add Subcategory")</f>
        <v>Food &amp; Daily Living</v>
      </c>
      <c r="K57" t="str">
        <f>_xlfn.XLOOKUP(Table4[[#This Row],[Subcategory]],Categories[Subcategory],Categories[Categorys Type],"Add Subcategory")</f>
        <v>Expense</v>
      </c>
    </row>
    <row r="58" spans="1:11" x14ac:dyDescent="0.3">
      <c r="A58" t="s">
        <v>213</v>
      </c>
      <c r="B58" s="10">
        <v>45311</v>
      </c>
      <c r="C58" s="11" t="s">
        <v>184</v>
      </c>
      <c r="D58" s="13">
        <v>350</v>
      </c>
      <c r="E58" s="12">
        <v>0</v>
      </c>
      <c r="F58" s="13">
        <v>1343</v>
      </c>
      <c r="G58" s="14"/>
      <c r="H58" s="19">
        <f>Table4[[#This Row],[Credit (₹)]]-Table4[[#This Row],[Debit (₹)]]</f>
        <v>-350</v>
      </c>
      <c r="I58" t="s">
        <v>10</v>
      </c>
      <c r="J58" t="str">
        <f>_xlfn.XLOOKUP(Table4[[#This Row],[Subcategory]],Categories[Subcategory],Categories[Category],"Add Subcategory")</f>
        <v>Transport &amp; Travel</v>
      </c>
      <c r="K58" t="str">
        <f>_xlfn.XLOOKUP(Table4[[#This Row],[Subcategory]],Categories[Subcategory],Categories[Categorys Type],"Add Subcategory")</f>
        <v>Expense</v>
      </c>
    </row>
    <row r="59" spans="1:11" x14ac:dyDescent="0.3">
      <c r="A59" t="s">
        <v>259</v>
      </c>
      <c r="B59" s="10">
        <v>45311</v>
      </c>
      <c r="C59" s="11" t="s">
        <v>231</v>
      </c>
      <c r="D59" s="13">
        <v>6000</v>
      </c>
      <c r="E59" s="12">
        <v>0</v>
      </c>
      <c r="F59" s="13">
        <v>-45730</v>
      </c>
      <c r="G59" s="14"/>
      <c r="H59" s="19">
        <f>Table4[[#This Row],[Credit (₹)]]-Table4[[#This Row],[Debit (₹)]]</f>
        <v>-6000</v>
      </c>
      <c r="I59" t="s">
        <v>3</v>
      </c>
      <c r="J59" t="str">
        <f>_xlfn.XLOOKUP(Table4[[#This Row],[Subcategory]],Categories[Subcategory],Categories[Category],"Add Subcategory")</f>
        <v>Accommodation &amp; Utilities</v>
      </c>
      <c r="K59" t="str">
        <f>_xlfn.XLOOKUP(Table4[[#This Row],[Subcategory]],Categories[Subcategory],Categories[Categorys Type],"Add Subcategory")</f>
        <v>Expense</v>
      </c>
    </row>
    <row r="60" spans="1:11" x14ac:dyDescent="0.3">
      <c r="A60" t="s">
        <v>166</v>
      </c>
      <c r="B60" s="10">
        <v>45322</v>
      </c>
      <c r="C60" s="11" t="s">
        <v>84</v>
      </c>
      <c r="D60" s="12">
        <v>0</v>
      </c>
      <c r="E60" s="13">
        <v>5000</v>
      </c>
      <c r="F60" s="13">
        <v>-6728</v>
      </c>
      <c r="G60" s="14" t="s">
        <v>85</v>
      </c>
      <c r="H60" s="19">
        <f>Table4[[#This Row],[Credit (₹)]]-Table4[[#This Row],[Debit (₹)]]</f>
        <v>5000</v>
      </c>
      <c r="I60" t="s">
        <v>36</v>
      </c>
      <c r="J60" t="str">
        <f>_xlfn.XLOOKUP(Table4[[#This Row],[Subcategory]],Categories[Subcategory],Categories[Category],"Add Subcategory")</f>
        <v>Family Support &amp; Financial Aid</v>
      </c>
      <c r="K60" t="str">
        <f>_xlfn.XLOOKUP(Table4[[#This Row],[Subcategory]],Categories[Subcategory],Categories[Categorys Type],"Add Subcategory")</f>
        <v>Income</v>
      </c>
    </row>
    <row r="61" spans="1:11" x14ac:dyDescent="0.3">
      <c r="A61" t="s">
        <v>166</v>
      </c>
      <c r="B61" s="10">
        <v>45328</v>
      </c>
      <c r="C61" s="11" t="s">
        <v>86</v>
      </c>
      <c r="D61" s="13">
        <v>3200</v>
      </c>
      <c r="E61" s="12">
        <v>0</v>
      </c>
      <c r="F61" s="13">
        <v>-9928</v>
      </c>
      <c r="G61" s="14" t="s">
        <v>87</v>
      </c>
      <c r="H61" s="19">
        <f>Table4[[#This Row],[Credit (₹)]]-Table4[[#This Row],[Debit (₹)]]</f>
        <v>-3200</v>
      </c>
      <c r="I61" t="s">
        <v>12</v>
      </c>
      <c r="J61" t="str">
        <f>_xlfn.XLOOKUP(Table4[[#This Row],[Subcategory]],Categories[Subcategory],Categories[Category],"Add Subcategory")</f>
        <v>Personal Care &amp; Lifestyle</v>
      </c>
      <c r="K61" t="str">
        <f>_xlfn.XLOOKUP(Table4[[#This Row],[Subcategory]],Categories[Subcategory],Categories[Categorys Type],"Add Subcategory")</f>
        <v>Expense</v>
      </c>
    </row>
    <row r="62" spans="1:11" x14ac:dyDescent="0.3">
      <c r="A62" t="s">
        <v>213</v>
      </c>
      <c r="B62" s="10">
        <v>45328</v>
      </c>
      <c r="C62" s="11" t="s">
        <v>185</v>
      </c>
      <c r="D62" s="13">
        <v>899</v>
      </c>
      <c r="E62" s="12">
        <v>0</v>
      </c>
      <c r="F62" s="13">
        <v>2242</v>
      </c>
      <c r="G62" s="14" t="s">
        <v>186</v>
      </c>
      <c r="H62" s="19">
        <f>Table4[[#This Row],[Credit (₹)]]-Table4[[#This Row],[Debit (₹)]]</f>
        <v>-899</v>
      </c>
      <c r="I62" t="s">
        <v>6</v>
      </c>
      <c r="J62" t="str">
        <f>_xlfn.XLOOKUP(Table4[[#This Row],[Subcategory]],Categories[Subcategory],Categories[Category],"Add Subcategory")</f>
        <v>Food &amp; Daily Living</v>
      </c>
      <c r="K62" t="str">
        <f>_xlfn.XLOOKUP(Table4[[#This Row],[Subcategory]],Categories[Subcategory],Categories[Categorys Type],"Add Subcategory")</f>
        <v>Expense</v>
      </c>
    </row>
    <row r="63" spans="1:11" x14ac:dyDescent="0.3">
      <c r="A63" t="s">
        <v>259</v>
      </c>
      <c r="B63" s="10">
        <v>45328</v>
      </c>
      <c r="C63" s="11" t="s">
        <v>234</v>
      </c>
      <c r="D63" s="12">
        <v>0</v>
      </c>
      <c r="E63" s="13">
        <v>3000</v>
      </c>
      <c r="F63" s="13">
        <v>-42730</v>
      </c>
      <c r="G63" s="14" t="s">
        <v>235</v>
      </c>
      <c r="H63" s="19">
        <f>Table4[[#This Row],[Credit (₹)]]-Table4[[#This Row],[Debit (₹)]]</f>
        <v>3000</v>
      </c>
      <c r="I63" t="s">
        <v>23</v>
      </c>
      <c r="J63" t="str">
        <f>_xlfn.XLOOKUP(Table4[[#This Row],[Subcategory]],Categories[Subcategory],Categories[Category],"Add Subcategory")</f>
        <v>Other Expences</v>
      </c>
      <c r="K63" t="str">
        <f>_xlfn.XLOOKUP(Table4[[#This Row],[Subcategory]],Categories[Subcategory],Categories[Categorys Type],"Add Subcategory")</f>
        <v>Expense</v>
      </c>
    </row>
    <row r="64" spans="1:11" x14ac:dyDescent="0.3">
      <c r="A64" t="s">
        <v>166</v>
      </c>
      <c r="B64" s="10">
        <v>45331</v>
      </c>
      <c r="C64" s="11" t="s">
        <v>88</v>
      </c>
      <c r="D64" s="13">
        <v>799</v>
      </c>
      <c r="E64" s="12">
        <v>0</v>
      </c>
      <c r="F64" s="13">
        <v>-10727</v>
      </c>
      <c r="G64" s="14" t="s">
        <v>89</v>
      </c>
      <c r="H64" s="19">
        <f>Table4[[#This Row],[Credit (₹)]]-Table4[[#This Row],[Debit (₹)]]</f>
        <v>-799</v>
      </c>
      <c r="I64" t="s">
        <v>21</v>
      </c>
      <c r="J64" t="str">
        <f>_xlfn.XLOOKUP(Table4[[#This Row],[Subcategory]],Categories[Subcategory],Categories[Category],"Add Subcategory")</f>
        <v xml:space="preserve">Social &amp; Festival Expence </v>
      </c>
      <c r="K64" t="str">
        <f>_xlfn.XLOOKUP(Table4[[#This Row],[Subcategory]],Categories[Subcategory],Categories[Categorys Type],"Add Subcategory")</f>
        <v>Expense</v>
      </c>
    </row>
    <row r="65" spans="1:11" x14ac:dyDescent="0.3">
      <c r="A65" t="s">
        <v>213</v>
      </c>
      <c r="B65" s="10">
        <v>45331</v>
      </c>
      <c r="C65" s="11" t="s">
        <v>187</v>
      </c>
      <c r="D65" s="13">
        <v>1999</v>
      </c>
      <c r="E65" s="12">
        <v>0</v>
      </c>
      <c r="F65" s="13">
        <v>4241</v>
      </c>
      <c r="G65" s="14"/>
      <c r="H65" s="19">
        <f>Table4[[#This Row],[Credit (₹)]]-Table4[[#This Row],[Debit (₹)]]</f>
        <v>-1999</v>
      </c>
      <c r="I65" t="s">
        <v>9</v>
      </c>
      <c r="J65" t="str">
        <f>_xlfn.XLOOKUP(Table4[[#This Row],[Subcategory]],Categories[Subcategory],Categories[Category],"Add Subcategory")</f>
        <v>Academic / Education Expenses</v>
      </c>
      <c r="K65" t="str">
        <f>_xlfn.XLOOKUP(Table4[[#This Row],[Subcategory]],Categories[Subcategory],Categories[Categorys Type],"Add Subcategory")</f>
        <v>Expense</v>
      </c>
    </row>
    <row r="66" spans="1:11" x14ac:dyDescent="0.3">
      <c r="A66" t="s">
        <v>259</v>
      </c>
      <c r="B66" s="10">
        <v>45331</v>
      </c>
      <c r="C66" s="11" t="s">
        <v>236</v>
      </c>
      <c r="D66" s="13">
        <v>1999</v>
      </c>
      <c r="E66" s="12">
        <v>0</v>
      </c>
      <c r="F66" s="13">
        <v>-44729</v>
      </c>
      <c r="G66" s="14"/>
      <c r="H66" s="19">
        <f>Table4[[#This Row],[Credit (₹)]]-Table4[[#This Row],[Debit (₹)]]</f>
        <v>-1999</v>
      </c>
      <c r="I66" t="s">
        <v>9</v>
      </c>
      <c r="J66" t="str">
        <f>_xlfn.XLOOKUP(Table4[[#This Row],[Subcategory]],Categories[Subcategory],Categories[Category],"Add Subcategory")</f>
        <v>Academic / Education Expenses</v>
      </c>
      <c r="K66" t="str">
        <f>_xlfn.XLOOKUP(Table4[[#This Row],[Subcategory]],Categories[Subcategory],Categories[Categorys Type],"Add Subcategory")</f>
        <v>Expense</v>
      </c>
    </row>
    <row r="67" spans="1:11" x14ac:dyDescent="0.3">
      <c r="A67" t="s">
        <v>166</v>
      </c>
      <c r="B67" s="10">
        <v>45333</v>
      </c>
      <c r="C67" s="11" t="s">
        <v>90</v>
      </c>
      <c r="D67" s="12">
        <v>0</v>
      </c>
      <c r="E67" s="13">
        <v>10000</v>
      </c>
      <c r="F67" s="13">
        <v>-727</v>
      </c>
      <c r="G67" s="14" t="s">
        <v>46</v>
      </c>
      <c r="H67" s="19">
        <f>Table4[[#This Row],[Credit (₹)]]-Table4[[#This Row],[Debit (₹)]]</f>
        <v>10000</v>
      </c>
      <c r="I67" t="s">
        <v>34</v>
      </c>
      <c r="J67" t="str">
        <f>_xlfn.XLOOKUP(Table4[[#This Row],[Subcategory]],Categories[Subcategory],Categories[Category],"Add Subcategory")</f>
        <v>Family Support &amp; Financial Aid</v>
      </c>
      <c r="K67" t="str">
        <f>_xlfn.XLOOKUP(Table4[[#This Row],[Subcategory]],Categories[Subcategory],Categories[Categorys Type],"Add Subcategory")</f>
        <v>Income</v>
      </c>
    </row>
    <row r="68" spans="1:11" x14ac:dyDescent="0.3">
      <c r="A68" t="s">
        <v>213</v>
      </c>
      <c r="B68" s="10">
        <v>45333</v>
      </c>
      <c r="C68" s="11" t="s">
        <v>181</v>
      </c>
      <c r="D68" s="12">
        <v>0</v>
      </c>
      <c r="E68" s="13">
        <v>5000</v>
      </c>
      <c r="F68" s="13">
        <v>-759</v>
      </c>
      <c r="G68" s="14"/>
      <c r="H68" s="19">
        <f>Table4[[#This Row],[Credit (₹)]]-Table4[[#This Row],[Debit (₹)]]</f>
        <v>5000</v>
      </c>
      <c r="I68" t="s">
        <v>35</v>
      </c>
      <c r="J68" t="str">
        <f>_xlfn.XLOOKUP(Table4[[#This Row],[Subcategory]],Categories[Subcategory],Categories[Category],"Add Subcategory")</f>
        <v>Family Support &amp; Financial Aid</v>
      </c>
      <c r="K68" t="str">
        <f>_xlfn.XLOOKUP(Table4[[#This Row],[Subcategory]],Categories[Subcategory],Categories[Categorys Type],"Add Subcategory")</f>
        <v>Income</v>
      </c>
    </row>
    <row r="69" spans="1:11" x14ac:dyDescent="0.3">
      <c r="A69" t="s">
        <v>259</v>
      </c>
      <c r="B69" s="10">
        <v>45333</v>
      </c>
      <c r="C69" s="11" t="s">
        <v>229</v>
      </c>
      <c r="D69" s="12">
        <v>0</v>
      </c>
      <c r="E69" s="13">
        <v>10000</v>
      </c>
      <c r="F69" s="13">
        <v>-34729</v>
      </c>
      <c r="G69" s="14"/>
      <c r="H69" s="19">
        <f>Table4[[#This Row],[Credit (₹)]]-Table4[[#This Row],[Debit (₹)]]</f>
        <v>10000</v>
      </c>
      <c r="I69" t="s">
        <v>34</v>
      </c>
      <c r="J69" t="str">
        <f>_xlfn.XLOOKUP(Table4[[#This Row],[Subcategory]],Categories[Subcategory],Categories[Category],"Add Subcategory")</f>
        <v>Family Support &amp; Financial Aid</v>
      </c>
      <c r="K69" t="str">
        <f>_xlfn.XLOOKUP(Table4[[#This Row],[Subcategory]],Categories[Subcategory],Categories[Categorys Type],"Add Subcategory")</f>
        <v>Income</v>
      </c>
    </row>
    <row r="70" spans="1:11" x14ac:dyDescent="0.3">
      <c r="A70" t="s">
        <v>166</v>
      </c>
      <c r="B70" s="10">
        <v>45336</v>
      </c>
      <c r="C70" s="11" t="s">
        <v>91</v>
      </c>
      <c r="D70" s="13">
        <v>6000</v>
      </c>
      <c r="E70" s="12">
        <v>0</v>
      </c>
      <c r="F70" s="13">
        <v>-6727</v>
      </c>
      <c r="G70" s="14" t="s">
        <v>92</v>
      </c>
      <c r="H70" s="19">
        <f>Table4[[#This Row],[Credit (₹)]]-Table4[[#This Row],[Debit (₹)]]</f>
        <v>-6000</v>
      </c>
      <c r="I70" t="s">
        <v>3</v>
      </c>
      <c r="J70" t="str">
        <f>_xlfn.XLOOKUP(Table4[[#This Row],[Subcategory]],Categories[Subcategory],Categories[Category],"Add Subcategory")</f>
        <v>Accommodation &amp; Utilities</v>
      </c>
      <c r="K70" t="str">
        <f>_xlfn.XLOOKUP(Table4[[#This Row],[Subcategory]],Categories[Subcategory],Categories[Categorys Type],"Add Subcategory")</f>
        <v>Expense</v>
      </c>
    </row>
    <row r="71" spans="1:11" x14ac:dyDescent="0.3">
      <c r="A71" t="s">
        <v>213</v>
      </c>
      <c r="B71" s="10">
        <v>45336</v>
      </c>
      <c r="C71" s="11" t="s">
        <v>188</v>
      </c>
      <c r="D71" s="13">
        <v>549</v>
      </c>
      <c r="E71" s="12">
        <v>0</v>
      </c>
      <c r="F71" s="13">
        <v>-210</v>
      </c>
      <c r="G71" s="14"/>
      <c r="H71" s="19">
        <f>Table4[[#This Row],[Credit (₹)]]-Table4[[#This Row],[Debit (₹)]]</f>
        <v>-549</v>
      </c>
      <c r="I71" t="s">
        <v>8</v>
      </c>
      <c r="J71" t="str">
        <f>_xlfn.XLOOKUP(Table4[[#This Row],[Subcategory]],Categories[Subcategory],Categories[Category],"Add Subcategory")</f>
        <v>Academic / Education Expenses</v>
      </c>
      <c r="K71" t="str">
        <f>_xlfn.XLOOKUP(Table4[[#This Row],[Subcategory]],Categories[Subcategory],Categories[Categorys Type],"Add Subcategory")</f>
        <v>Expense</v>
      </c>
    </row>
    <row r="72" spans="1:11" x14ac:dyDescent="0.3">
      <c r="A72" t="s">
        <v>259</v>
      </c>
      <c r="B72" s="10">
        <v>45336</v>
      </c>
      <c r="C72" s="11" t="s">
        <v>237</v>
      </c>
      <c r="D72" s="13">
        <v>800</v>
      </c>
      <c r="E72" s="12">
        <v>0</v>
      </c>
      <c r="F72" s="13">
        <v>-35529</v>
      </c>
      <c r="G72" s="14"/>
      <c r="H72" s="19">
        <f>Table4[[#This Row],[Credit (₹)]]-Table4[[#This Row],[Debit (₹)]]</f>
        <v>-800</v>
      </c>
      <c r="I72" t="s">
        <v>4</v>
      </c>
      <c r="J72" t="str">
        <f>_xlfn.XLOOKUP(Table4[[#This Row],[Subcategory]],Categories[Subcategory],Categories[Category],"Add Subcategory")</f>
        <v>Accommodation &amp; Utilities</v>
      </c>
      <c r="K72" t="str">
        <f>_xlfn.XLOOKUP(Table4[[#This Row],[Subcategory]],Categories[Subcategory],Categories[Categorys Type],"Add Subcategory")</f>
        <v>Expense</v>
      </c>
    </row>
    <row r="73" spans="1:11" x14ac:dyDescent="0.3">
      <c r="A73" t="s">
        <v>166</v>
      </c>
      <c r="B73" s="10">
        <v>45341</v>
      </c>
      <c r="C73" s="11" t="s">
        <v>93</v>
      </c>
      <c r="D73" s="13">
        <v>4000</v>
      </c>
      <c r="E73" s="12">
        <v>0</v>
      </c>
      <c r="F73" s="13">
        <v>-10727</v>
      </c>
      <c r="G73" s="14" t="s">
        <v>52</v>
      </c>
      <c r="H73" s="19">
        <f>Table4[[#This Row],[Credit (₹)]]-Table4[[#This Row],[Debit (₹)]]</f>
        <v>-4000</v>
      </c>
      <c r="I73" t="s">
        <v>5</v>
      </c>
      <c r="J73" t="str">
        <f>_xlfn.XLOOKUP(Table4[[#This Row],[Subcategory]],Categories[Subcategory],Categories[Category],"Add Subcategory")</f>
        <v>Food &amp; Daily Living</v>
      </c>
      <c r="K73" t="str">
        <f>_xlfn.XLOOKUP(Table4[[#This Row],[Subcategory]],Categories[Subcategory],Categories[Categorys Type],"Add Subcategory")</f>
        <v>Expense</v>
      </c>
    </row>
    <row r="74" spans="1:11" x14ac:dyDescent="0.3">
      <c r="A74" t="s">
        <v>166</v>
      </c>
      <c r="B74" s="10">
        <v>45346</v>
      </c>
      <c r="C74" s="11" t="s">
        <v>94</v>
      </c>
      <c r="D74" s="12">
        <v>0</v>
      </c>
      <c r="E74" s="13">
        <v>2000</v>
      </c>
      <c r="F74" s="13">
        <v>-8727</v>
      </c>
      <c r="G74" s="14" t="s">
        <v>95</v>
      </c>
      <c r="H74" s="19">
        <f>Table4[[#This Row],[Credit (₹)]]-Table4[[#This Row],[Debit (₹)]]</f>
        <v>2000</v>
      </c>
      <c r="I74" t="s">
        <v>37</v>
      </c>
      <c r="J74" t="str">
        <f>_xlfn.XLOOKUP(Table4[[#This Row],[Subcategory]],Categories[Subcategory],Categories[Category],"Add Subcategory")</f>
        <v>Earnings &amp; Work Income</v>
      </c>
      <c r="K74" t="str">
        <f>_xlfn.XLOOKUP(Table4[[#This Row],[Subcategory]],Categories[Subcategory],Categories[Categorys Type],"Add Subcategory")</f>
        <v>Income</v>
      </c>
    </row>
    <row r="75" spans="1:11" x14ac:dyDescent="0.3">
      <c r="A75" t="s">
        <v>166</v>
      </c>
      <c r="B75" s="10">
        <v>45346</v>
      </c>
      <c r="C75" s="11" t="s">
        <v>96</v>
      </c>
      <c r="D75" s="13">
        <v>1200</v>
      </c>
      <c r="E75" s="12">
        <v>0</v>
      </c>
      <c r="F75" s="13">
        <v>-9927</v>
      </c>
      <c r="G75" s="14" t="s">
        <v>97</v>
      </c>
      <c r="H75" s="19">
        <f>Table4[[#This Row],[Credit (₹)]]-Table4[[#This Row],[Debit (₹)]]</f>
        <v>-1200</v>
      </c>
      <c r="I75" t="s">
        <v>11</v>
      </c>
      <c r="J75" t="str">
        <f>_xlfn.XLOOKUP(Table4[[#This Row],[Subcategory]],Categories[Subcategory],Categories[Category],"Add Subcategory")</f>
        <v>Transport &amp; Travel</v>
      </c>
      <c r="K75" t="str">
        <f>_xlfn.XLOOKUP(Table4[[#This Row],[Subcategory]],Categories[Subcategory],Categories[Categorys Type],"Add Subcategory")</f>
        <v>Expense</v>
      </c>
    </row>
    <row r="76" spans="1:11" x14ac:dyDescent="0.3">
      <c r="A76" t="s">
        <v>213</v>
      </c>
      <c r="B76" s="10">
        <v>45346</v>
      </c>
      <c r="C76" s="11" t="s">
        <v>189</v>
      </c>
      <c r="D76" s="13">
        <v>399</v>
      </c>
      <c r="E76" s="12">
        <v>0</v>
      </c>
      <c r="F76" s="13">
        <v>189</v>
      </c>
      <c r="G76" s="14" t="s">
        <v>190</v>
      </c>
      <c r="H76" s="19">
        <f>Table4[[#This Row],[Credit (₹)]]-Table4[[#This Row],[Debit (₹)]]</f>
        <v>-399</v>
      </c>
      <c r="I76" t="s">
        <v>6</v>
      </c>
      <c r="J76" t="str">
        <f>_xlfn.XLOOKUP(Table4[[#This Row],[Subcategory]],Categories[Subcategory],Categories[Category],"Add Subcategory")</f>
        <v>Food &amp; Daily Living</v>
      </c>
      <c r="K76" t="str">
        <f>_xlfn.XLOOKUP(Table4[[#This Row],[Subcategory]],Categories[Subcategory],Categories[Categorys Type],"Add Subcategory")</f>
        <v>Expense</v>
      </c>
    </row>
    <row r="77" spans="1:11" x14ac:dyDescent="0.3">
      <c r="A77" t="s">
        <v>259</v>
      </c>
      <c r="B77" s="10">
        <v>45346</v>
      </c>
      <c r="C77" s="11" t="s">
        <v>230</v>
      </c>
      <c r="D77" s="13">
        <v>4000</v>
      </c>
      <c r="E77" s="12">
        <v>0</v>
      </c>
      <c r="F77" s="13">
        <v>-39529</v>
      </c>
      <c r="G77" s="14"/>
      <c r="H77" s="19">
        <f>Table4[[#This Row],[Credit (₹)]]-Table4[[#This Row],[Debit (₹)]]</f>
        <v>-4000</v>
      </c>
      <c r="I77" t="s">
        <v>5</v>
      </c>
      <c r="J77" t="str">
        <f>_xlfn.XLOOKUP(Table4[[#This Row],[Subcategory]],Categories[Subcategory],Categories[Category],"Add Subcategory")</f>
        <v>Food &amp; Daily Living</v>
      </c>
      <c r="K77" t="str">
        <f>_xlfn.XLOOKUP(Table4[[#This Row],[Subcategory]],Categories[Subcategory],Categories[Categorys Type],"Add Subcategory")</f>
        <v>Expense</v>
      </c>
    </row>
    <row r="78" spans="1:11" x14ac:dyDescent="0.3">
      <c r="A78" t="s">
        <v>166</v>
      </c>
      <c r="B78" s="10">
        <v>45358</v>
      </c>
      <c r="C78" s="11" t="s">
        <v>98</v>
      </c>
      <c r="D78" s="12">
        <v>0</v>
      </c>
      <c r="E78" s="13">
        <v>10000</v>
      </c>
      <c r="F78" s="13">
        <v>73</v>
      </c>
      <c r="G78" s="14" t="s">
        <v>46</v>
      </c>
      <c r="H78" s="19">
        <f>Table4[[#This Row],[Credit (₹)]]-Table4[[#This Row],[Debit (₹)]]</f>
        <v>10000</v>
      </c>
      <c r="I78" t="s">
        <v>34</v>
      </c>
      <c r="J78" t="str">
        <f>_xlfn.XLOOKUP(Table4[[#This Row],[Subcategory]],Categories[Subcategory],Categories[Category],"Add Subcategory")</f>
        <v>Family Support &amp; Financial Aid</v>
      </c>
      <c r="K78" t="str">
        <f>_xlfn.XLOOKUP(Table4[[#This Row],[Subcategory]],Categories[Subcategory],Categories[Categorys Type],"Add Subcategory")</f>
        <v>Income</v>
      </c>
    </row>
    <row r="79" spans="1:11" x14ac:dyDescent="0.3">
      <c r="A79" t="s">
        <v>213</v>
      </c>
      <c r="B79" s="10">
        <v>45358</v>
      </c>
      <c r="C79" s="11" t="s">
        <v>191</v>
      </c>
      <c r="D79" s="13">
        <v>119</v>
      </c>
      <c r="E79" s="12">
        <v>0</v>
      </c>
      <c r="F79" s="13">
        <v>308</v>
      </c>
      <c r="G79" s="14"/>
      <c r="H79" s="19">
        <f>Table4[[#This Row],[Credit (₹)]]-Table4[[#This Row],[Debit (₹)]]</f>
        <v>-119</v>
      </c>
      <c r="I79" t="s">
        <v>20</v>
      </c>
      <c r="J79" t="str">
        <f>_xlfn.XLOOKUP(Table4[[#This Row],[Subcategory]],Categories[Subcategory],Categories[Category],"Add Subcategory")</f>
        <v>Personal Care &amp; Lifestyle</v>
      </c>
      <c r="K79" t="str">
        <f>_xlfn.XLOOKUP(Table4[[#This Row],[Subcategory]],Categories[Subcategory],Categories[Categorys Type],"Add Subcategory")</f>
        <v>Expense</v>
      </c>
    </row>
    <row r="80" spans="1:11" x14ac:dyDescent="0.3">
      <c r="A80" t="s">
        <v>259</v>
      </c>
      <c r="B80" s="10">
        <v>45358</v>
      </c>
      <c r="C80" s="11" t="s">
        <v>231</v>
      </c>
      <c r="D80" s="13">
        <v>6000</v>
      </c>
      <c r="E80" s="12">
        <v>0</v>
      </c>
      <c r="F80" s="13">
        <v>-45529</v>
      </c>
      <c r="G80" s="14"/>
      <c r="H80" s="19">
        <f>Table4[[#This Row],[Credit (₹)]]-Table4[[#This Row],[Debit (₹)]]</f>
        <v>-6000</v>
      </c>
      <c r="I80" t="s">
        <v>3</v>
      </c>
      <c r="J80" t="str">
        <f>_xlfn.XLOOKUP(Table4[[#This Row],[Subcategory]],Categories[Subcategory],Categories[Category],"Add Subcategory")</f>
        <v>Accommodation &amp; Utilities</v>
      </c>
      <c r="K80" t="str">
        <f>_xlfn.XLOOKUP(Table4[[#This Row],[Subcategory]],Categories[Subcategory],Categories[Categorys Type],"Add Subcategory")</f>
        <v>Expense</v>
      </c>
    </row>
    <row r="81" spans="1:11" x14ac:dyDescent="0.3">
      <c r="A81" t="s">
        <v>166</v>
      </c>
      <c r="B81" s="10">
        <v>45378</v>
      </c>
      <c r="C81" s="11" t="s">
        <v>99</v>
      </c>
      <c r="D81" s="13">
        <v>6000</v>
      </c>
      <c r="E81" s="12">
        <v>0</v>
      </c>
      <c r="F81" s="13">
        <v>-5927</v>
      </c>
      <c r="G81" s="14" t="s">
        <v>100</v>
      </c>
      <c r="H81" s="19">
        <f>Table4[[#This Row],[Credit (₹)]]-Table4[[#This Row],[Debit (₹)]]</f>
        <v>-6000</v>
      </c>
      <c r="I81" t="s">
        <v>3</v>
      </c>
      <c r="J81" t="str">
        <f>_xlfn.XLOOKUP(Table4[[#This Row],[Subcategory]],Categories[Subcategory],Categories[Category],"Add Subcategory")</f>
        <v>Accommodation &amp; Utilities</v>
      </c>
      <c r="K81" t="str">
        <f>_xlfn.XLOOKUP(Table4[[#This Row],[Subcategory]],Categories[Subcategory],Categories[Categorys Type],"Add Subcategory")</f>
        <v>Expense</v>
      </c>
    </row>
    <row r="82" spans="1:11" x14ac:dyDescent="0.3">
      <c r="A82" t="s">
        <v>259</v>
      </c>
      <c r="B82" s="10">
        <v>45378</v>
      </c>
      <c r="C82" s="11" t="s">
        <v>238</v>
      </c>
      <c r="D82" s="13">
        <v>599</v>
      </c>
      <c r="E82" s="12">
        <v>0</v>
      </c>
      <c r="F82" s="13">
        <v>-46128</v>
      </c>
      <c r="G82" s="14"/>
      <c r="H82" s="19">
        <f>Table4[[#This Row],[Credit (₹)]]-Table4[[#This Row],[Debit (₹)]]</f>
        <v>-599</v>
      </c>
      <c r="I82" t="s">
        <v>14</v>
      </c>
      <c r="J82" t="str">
        <f>_xlfn.XLOOKUP(Table4[[#This Row],[Subcategory]],Categories[Subcategory],Categories[Category],"Add Subcategory")</f>
        <v>Personal Care &amp; Lifestyle</v>
      </c>
      <c r="K82" t="str">
        <f>_xlfn.XLOOKUP(Table4[[#This Row],[Subcategory]],Categories[Subcategory],Categories[Categorys Type],"Add Subcategory")</f>
        <v>Expense</v>
      </c>
    </row>
    <row r="83" spans="1:11" x14ac:dyDescent="0.3">
      <c r="A83" t="s">
        <v>166</v>
      </c>
      <c r="B83" s="10">
        <v>45389</v>
      </c>
      <c r="C83" s="11" t="s">
        <v>101</v>
      </c>
      <c r="D83" s="13">
        <v>120000</v>
      </c>
      <c r="E83" s="12">
        <v>0</v>
      </c>
      <c r="F83" s="13">
        <v>-125927</v>
      </c>
      <c r="G83" s="14" t="s">
        <v>102</v>
      </c>
      <c r="H83" s="19">
        <f>Table4[[#This Row],[Credit (₹)]]-Table4[[#This Row],[Debit (₹)]]</f>
        <v>-120000</v>
      </c>
      <c r="I83" t="s">
        <v>0</v>
      </c>
      <c r="J83" t="str">
        <f>_xlfn.XLOOKUP(Table4[[#This Row],[Subcategory]],Categories[Subcategory],Categories[Category],"Add Subcategory")</f>
        <v>Academic / Education Expenses</v>
      </c>
      <c r="K83" t="str">
        <f>_xlfn.XLOOKUP(Table4[[#This Row],[Subcategory]],Categories[Subcategory],Categories[Categorys Type],"Add Subcategory")</f>
        <v>Expense</v>
      </c>
    </row>
    <row r="84" spans="1:11" x14ac:dyDescent="0.3">
      <c r="A84" t="s">
        <v>213</v>
      </c>
      <c r="B84" s="10">
        <v>45389</v>
      </c>
      <c r="C84" s="11" t="s">
        <v>192</v>
      </c>
      <c r="D84" s="13">
        <v>220</v>
      </c>
      <c r="E84" s="12">
        <v>0</v>
      </c>
      <c r="F84" s="13">
        <v>528</v>
      </c>
      <c r="G84" s="14"/>
      <c r="H84" s="19">
        <f>Table4[[#This Row],[Credit (₹)]]-Table4[[#This Row],[Debit (₹)]]</f>
        <v>-220</v>
      </c>
      <c r="I84" t="s">
        <v>10</v>
      </c>
      <c r="J84" t="str">
        <f>_xlfn.XLOOKUP(Table4[[#This Row],[Subcategory]],Categories[Subcategory],Categories[Category],"Add Subcategory")</f>
        <v>Transport &amp; Travel</v>
      </c>
      <c r="K84" t="str">
        <f>_xlfn.XLOOKUP(Table4[[#This Row],[Subcategory]],Categories[Subcategory],Categories[Categorys Type],"Add Subcategory")</f>
        <v>Expense</v>
      </c>
    </row>
    <row r="85" spans="1:11" x14ac:dyDescent="0.3">
      <c r="A85" t="s">
        <v>259</v>
      </c>
      <c r="B85" s="10">
        <v>45389</v>
      </c>
      <c r="C85" s="11" t="s">
        <v>239</v>
      </c>
      <c r="D85" s="12">
        <v>0</v>
      </c>
      <c r="E85" s="13">
        <v>5000</v>
      </c>
      <c r="F85" s="13">
        <v>-41128</v>
      </c>
      <c r="G85" s="14"/>
      <c r="H85" s="19">
        <f>Table4[[#This Row],[Credit (₹)]]-Table4[[#This Row],[Debit (₹)]]</f>
        <v>5000</v>
      </c>
      <c r="I85" t="s">
        <v>36</v>
      </c>
      <c r="J85" t="str">
        <f>_xlfn.XLOOKUP(Table4[[#This Row],[Subcategory]],Categories[Subcategory],Categories[Category],"Add Subcategory")</f>
        <v>Family Support &amp; Financial Aid</v>
      </c>
      <c r="K85" t="str">
        <f>_xlfn.XLOOKUP(Table4[[#This Row],[Subcategory]],Categories[Subcategory],Categories[Categorys Type],"Add Subcategory")</f>
        <v>Income</v>
      </c>
    </row>
    <row r="86" spans="1:11" x14ac:dyDescent="0.3">
      <c r="A86" t="s">
        <v>166</v>
      </c>
      <c r="B86" s="10">
        <v>45392</v>
      </c>
      <c r="C86" s="11" t="s">
        <v>103</v>
      </c>
      <c r="D86" s="12">
        <v>0</v>
      </c>
      <c r="E86" s="13">
        <v>80000</v>
      </c>
      <c r="F86" s="13">
        <v>-45927</v>
      </c>
      <c r="G86" s="14" t="s">
        <v>104</v>
      </c>
      <c r="H86" s="19">
        <f>Table4[[#This Row],[Credit (₹)]]-Table4[[#This Row],[Debit (₹)]]</f>
        <v>80000</v>
      </c>
      <c r="I86" t="s">
        <v>35</v>
      </c>
      <c r="J86" t="str">
        <f>_xlfn.XLOOKUP(Table4[[#This Row],[Subcategory]],Categories[Subcategory],Categories[Category],"Add Subcategory")</f>
        <v>Family Support &amp; Financial Aid</v>
      </c>
      <c r="K86" t="str">
        <f>_xlfn.XLOOKUP(Table4[[#This Row],[Subcategory]],Categories[Subcategory],Categories[Categorys Type],"Add Subcategory")</f>
        <v>Income</v>
      </c>
    </row>
    <row r="87" spans="1:11" x14ac:dyDescent="0.3">
      <c r="A87" t="s">
        <v>166</v>
      </c>
      <c r="B87" s="10">
        <v>45392</v>
      </c>
      <c r="C87" s="11" t="s">
        <v>105</v>
      </c>
      <c r="D87" s="13">
        <v>4000</v>
      </c>
      <c r="E87" s="12">
        <v>0</v>
      </c>
      <c r="F87" s="13">
        <v>-49927</v>
      </c>
      <c r="G87" s="14" t="s">
        <v>52</v>
      </c>
      <c r="H87" s="19">
        <f>Table4[[#This Row],[Credit (₹)]]-Table4[[#This Row],[Debit (₹)]]</f>
        <v>-4000</v>
      </c>
      <c r="I87" t="s">
        <v>5</v>
      </c>
      <c r="J87" t="str">
        <f>_xlfn.XLOOKUP(Table4[[#This Row],[Subcategory]],Categories[Subcategory],Categories[Category],"Add Subcategory")</f>
        <v>Food &amp; Daily Living</v>
      </c>
      <c r="K87" t="str">
        <f>_xlfn.XLOOKUP(Table4[[#This Row],[Subcategory]],Categories[Subcategory],Categories[Categorys Type],"Add Subcategory")</f>
        <v>Expense</v>
      </c>
    </row>
    <row r="88" spans="1:11" x14ac:dyDescent="0.3">
      <c r="A88" t="s">
        <v>166</v>
      </c>
      <c r="B88" s="10">
        <v>45392</v>
      </c>
      <c r="C88" s="11" t="s">
        <v>66</v>
      </c>
      <c r="D88" s="13">
        <v>800</v>
      </c>
      <c r="E88" s="12">
        <v>0</v>
      </c>
      <c r="F88" s="13">
        <v>-50727</v>
      </c>
      <c r="G88" s="14"/>
      <c r="H88" s="19">
        <f>Table4[[#This Row],[Credit (₹)]]-Table4[[#This Row],[Debit (₹)]]</f>
        <v>-800</v>
      </c>
      <c r="I88" t="s">
        <v>4</v>
      </c>
      <c r="J88" t="str">
        <f>_xlfn.XLOOKUP(Table4[[#This Row],[Subcategory]],Categories[Subcategory],Categories[Category],"Add Subcategory")</f>
        <v>Accommodation &amp; Utilities</v>
      </c>
      <c r="K88" t="str">
        <f>_xlfn.XLOOKUP(Table4[[#This Row],[Subcategory]],Categories[Subcategory],Categories[Categorys Type],"Add Subcategory")</f>
        <v>Expense</v>
      </c>
    </row>
    <row r="89" spans="1:11" x14ac:dyDescent="0.3">
      <c r="A89" t="s">
        <v>213</v>
      </c>
      <c r="B89" s="10">
        <v>45392</v>
      </c>
      <c r="C89" s="11" t="s">
        <v>181</v>
      </c>
      <c r="D89" s="12">
        <v>0</v>
      </c>
      <c r="E89" s="13">
        <v>4000</v>
      </c>
      <c r="F89" s="13">
        <v>-3472</v>
      </c>
      <c r="G89" s="14"/>
      <c r="H89" s="19">
        <f>Table4[[#This Row],[Credit (₹)]]-Table4[[#This Row],[Debit (₹)]]</f>
        <v>4000</v>
      </c>
      <c r="I89" t="s">
        <v>35</v>
      </c>
      <c r="J89" t="str">
        <f>_xlfn.XLOOKUP(Table4[[#This Row],[Subcategory]],Categories[Subcategory],Categories[Category],"Add Subcategory")</f>
        <v>Family Support &amp; Financial Aid</v>
      </c>
      <c r="K89" t="str">
        <f>_xlfn.XLOOKUP(Table4[[#This Row],[Subcategory]],Categories[Subcategory],Categories[Categorys Type],"Add Subcategory")</f>
        <v>Income</v>
      </c>
    </row>
    <row r="90" spans="1:11" x14ac:dyDescent="0.3">
      <c r="A90" t="s">
        <v>213</v>
      </c>
      <c r="B90" s="10">
        <v>45392</v>
      </c>
      <c r="C90" s="11" t="s">
        <v>193</v>
      </c>
      <c r="D90" s="13">
        <v>780</v>
      </c>
      <c r="E90" s="12">
        <v>0</v>
      </c>
      <c r="F90" s="13">
        <v>-2692</v>
      </c>
      <c r="G90" s="14"/>
      <c r="H90" s="19">
        <f>Table4[[#This Row],[Credit (₹)]]-Table4[[#This Row],[Debit (₹)]]</f>
        <v>-780</v>
      </c>
      <c r="I90" t="s">
        <v>6</v>
      </c>
      <c r="J90" t="str">
        <f>_xlfn.XLOOKUP(Table4[[#This Row],[Subcategory]],Categories[Subcategory],Categories[Category],"Add Subcategory")</f>
        <v>Food &amp; Daily Living</v>
      </c>
      <c r="K90" t="str">
        <f>_xlfn.XLOOKUP(Table4[[#This Row],[Subcategory]],Categories[Subcategory],Categories[Categorys Type],"Add Subcategory")</f>
        <v>Expense</v>
      </c>
    </row>
    <row r="91" spans="1:11" x14ac:dyDescent="0.3">
      <c r="A91" t="s">
        <v>259</v>
      </c>
      <c r="B91" s="10">
        <v>45392</v>
      </c>
      <c r="C91" s="11" t="s">
        <v>240</v>
      </c>
      <c r="D91" s="13">
        <v>900</v>
      </c>
      <c r="E91" s="12">
        <v>0</v>
      </c>
      <c r="F91" s="13">
        <v>-42028</v>
      </c>
      <c r="G91" s="14" t="s">
        <v>123</v>
      </c>
      <c r="H91" s="19">
        <f>Table4[[#This Row],[Credit (₹)]]-Table4[[#This Row],[Debit (₹)]]</f>
        <v>-900</v>
      </c>
      <c r="I91" t="s">
        <v>17</v>
      </c>
      <c r="J91" t="str">
        <f>_xlfn.XLOOKUP(Table4[[#This Row],[Subcategory]],Categories[Subcategory],Categories[Category],"Add Subcategory")</f>
        <v>Personal Care &amp; Lifestyle</v>
      </c>
      <c r="K91" t="str">
        <f>_xlfn.XLOOKUP(Table4[[#This Row],[Subcategory]],Categories[Subcategory],Categories[Categorys Type],"Add Subcategory")</f>
        <v>Expense</v>
      </c>
    </row>
    <row r="92" spans="1:11" x14ac:dyDescent="0.3">
      <c r="A92" t="s">
        <v>259</v>
      </c>
      <c r="B92" s="10">
        <v>45392</v>
      </c>
      <c r="C92" s="11" t="s">
        <v>229</v>
      </c>
      <c r="D92" s="12">
        <v>0</v>
      </c>
      <c r="E92" s="13">
        <v>10000</v>
      </c>
      <c r="F92" s="13">
        <v>-32028</v>
      </c>
      <c r="G92" s="14"/>
      <c r="H92" s="19">
        <f>Table4[[#This Row],[Credit (₹)]]-Table4[[#This Row],[Debit (₹)]]</f>
        <v>10000</v>
      </c>
      <c r="I92" t="s">
        <v>34</v>
      </c>
      <c r="J92" t="str">
        <f>_xlfn.XLOOKUP(Table4[[#This Row],[Subcategory]],Categories[Subcategory],Categories[Category],"Add Subcategory")</f>
        <v>Family Support &amp; Financial Aid</v>
      </c>
      <c r="K92" t="str">
        <f>_xlfn.XLOOKUP(Table4[[#This Row],[Subcategory]],Categories[Subcategory],Categories[Categorys Type],"Add Subcategory")</f>
        <v>Income</v>
      </c>
    </row>
    <row r="93" spans="1:11" x14ac:dyDescent="0.3">
      <c r="A93" t="s">
        <v>166</v>
      </c>
      <c r="B93" s="10">
        <v>45404</v>
      </c>
      <c r="C93" s="11" t="s">
        <v>55</v>
      </c>
      <c r="D93" s="13">
        <v>3000</v>
      </c>
      <c r="E93" s="12">
        <v>0</v>
      </c>
      <c r="F93" s="13">
        <v>-53727</v>
      </c>
      <c r="G93" s="14" t="s">
        <v>106</v>
      </c>
      <c r="H93" s="19">
        <f>Table4[[#This Row],[Credit (₹)]]-Table4[[#This Row],[Debit (₹)]]</f>
        <v>-3000</v>
      </c>
      <c r="I93" t="s">
        <v>21</v>
      </c>
      <c r="J93" t="str">
        <f>_xlfn.XLOOKUP(Table4[[#This Row],[Subcategory]],Categories[Subcategory],Categories[Category],"Add Subcategory")</f>
        <v xml:space="preserve">Social &amp; Festival Expence </v>
      </c>
      <c r="K93" t="str">
        <f>_xlfn.XLOOKUP(Table4[[#This Row],[Subcategory]],Categories[Subcategory],Categories[Categorys Type],"Add Subcategory")</f>
        <v>Expense</v>
      </c>
    </row>
    <row r="94" spans="1:11" x14ac:dyDescent="0.3">
      <c r="A94" t="s">
        <v>166</v>
      </c>
      <c r="B94" s="10">
        <v>45408</v>
      </c>
      <c r="C94" s="11" t="s">
        <v>107</v>
      </c>
      <c r="D94" s="13">
        <v>2500</v>
      </c>
      <c r="E94" s="12">
        <v>0</v>
      </c>
      <c r="F94" s="13">
        <v>-56227</v>
      </c>
      <c r="G94" s="14"/>
      <c r="H94" s="19">
        <f>Table4[[#This Row],[Credit (₹)]]-Table4[[#This Row],[Debit (₹)]]</f>
        <v>-2500</v>
      </c>
      <c r="I94" t="s">
        <v>21</v>
      </c>
      <c r="J94" t="str">
        <f>_xlfn.XLOOKUP(Table4[[#This Row],[Subcategory]],Categories[Subcategory],Categories[Category],"Add Subcategory")</f>
        <v xml:space="preserve">Social &amp; Festival Expence </v>
      </c>
      <c r="K94" t="str">
        <f>_xlfn.XLOOKUP(Table4[[#This Row],[Subcategory]],Categories[Subcategory],Categories[Categorys Type],"Add Subcategory")</f>
        <v>Expense</v>
      </c>
    </row>
    <row r="95" spans="1:11" x14ac:dyDescent="0.3">
      <c r="A95" t="s">
        <v>166</v>
      </c>
      <c r="B95" s="10">
        <v>45452</v>
      </c>
      <c r="C95" s="11" t="s">
        <v>108</v>
      </c>
      <c r="D95" s="12">
        <v>0</v>
      </c>
      <c r="E95" s="13">
        <v>10000</v>
      </c>
      <c r="F95" s="13">
        <v>-46227</v>
      </c>
      <c r="G95" s="14" t="s">
        <v>46</v>
      </c>
      <c r="H95" s="19">
        <f>Table4[[#This Row],[Credit (₹)]]-Table4[[#This Row],[Debit (₹)]]</f>
        <v>10000</v>
      </c>
      <c r="I95" t="s">
        <v>34</v>
      </c>
      <c r="J95" t="str">
        <f>_xlfn.XLOOKUP(Table4[[#This Row],[Subcategory]],Categories[Subcategory],Categories[Category],"Add Subcategory")</f>
        <v>Family Support &amp; Financial Aid</v>
      </c>
      <c r="K95" t="str">
        <f>_xlfn.XLOOKUP(Table4[[#This Row],[Subcategory]],Categories[Subcategory],Categories[Categorys Type],"Add Subcategory")</f>
        <v>Income</v>
      </c>
    </row>
    <row r="96" spans="1:11" x14ac:dyDescent="0.3">
      <c r="A96" t="s">
        <v>213</v>
      </c>
      <c r="B96" s="10">
        <v>45452</v>
      </c>
      <c r="C96" s="11" t="s">
        <v>194</v>
      </c>
      <c r="D96" s="13">
        <v>650</v>
      </c>
      <c r="E96" s="12">
        <v>0</v>
      </c>
      <c r="F96" s="13">
        <v>-2042</v>
      </c>
      <c r="G96" s="14"/>
      <c r="H96" s="19">
        <f>Table4[[#This Row],[Credit (₹)]]-Table4[[#This Row],[Debit (₹)]]</f>
        <v>-650</v>
      </c>
      <c r="I96" t="s">
        <v>13</v>
      </c>
      <c r="J96" t="str">
        <f>_xlfn.XLOOKUP(Table4[[#This Row],[Subcategory]],Categories[Subcategory],Categories[Category],"Add Subcategory")</f>
        <v>Personal Care &amp; Lifestyle</v>
      </c>
      <c r="K96" t="str">
        <f>_xlfn.XLOOKUP(Table4[[#This Row],[Subcategory]],Categories[Subcategory],Categories[Categorys Type],"Add Subcategory")</f>
        <v>Expense</v>
      </c>
    </row>
    <row r="97" spans="1:11" x14ac:dyDescent="0.3">
      <c r="A97" t="s">
        <v>259</v>
      </c>
      <c r="B97" s="10">
        <v>45452</v>
      </c>
      <c r="C97" s="11" t="s">
        <v>230</v>
      </c>
      <c r="D97" s="13">
        <v>4000</v>
      </c>
      <c r="E97" s="12">
        <v>0</v>
      </c>
      <c r="F97" s="13">
        <v>-36028</v>
      </c>
      <c r="G97" s="14"/>
      <c r="H97" s="19">
        <f>Table4[[#This Row],[Credit (₹)]]-Table4[[#This Row],[Debit (₹)]]</f>
        <v>-4000</v>
      </c>
      <c r="I97" t="s">
        <v>5</v>
      </c>
      <c r="J97" t="str">
        <f>_xlfn.XLOOKUP(Table4[[#This Row],[Subcategory]],Categories[Subcategory],Categories[Category],"Add Subcategory")</f>
        <v>Food &amp; Daily Living</v>
      </c>
      <c r="K97" t="str">
        <f>_xlfn.XLOOKUP(Table4[[#This Row],[Subcategory]],Categories[Subcategory],Categories[Categorys Type],"Add Subcategory")</f>
        <v>Expense</v>
      </c>
    </row>
    <row r="98" spans="1:11" x14ac:dyDescent="0.3">
      <c r="A98" t="s">
        <v>166</v>
      </c>
      <c r="B98" s="10">
        <v>45456</v>
      </c>
      <c r="C98" s="11" t="s">
        <v>109</v>
      </c>
      <c r="D98" s="13">
        <v>6000</v>
      </c>
      <c r="E98" s="12">
        <v>0</v>
      </c>
      <c r="F98" s="13">
        <v>-52227</v>
      </c>
      <c r="G98" s="14" t="s">
        <v>110</v>
      </c>
      <c r="H98" s="19">
        <f>Table4[[#This Row],[Credit (₹)]]-Table4[[#This Row],[Debit (₹)]]</f>
        <v>-6000</v>
      </c>
      <c r="I98" t="s">
        <v>3</v>
      </c>
      <c r="J98" t="str">
        <f>_xlfn.XLOOKUP(Table4[[#This Row],[Subcategory]],Categories[Subcategory],Categories[Category],"Add Subcategory")</f>
        <v>Accommodation &amp; Utilities</v>
      </c>
      <c r="K98" t="str">
        <f>_xlfn.XLOOKUP(Table4[[#This Row],[Subcategory]],Categories[Subcategory],Categories[Categorys Type],"Add Subcategory")</f>
        <v>Expense</v>
      </c>
    </row>
    <row r="99" spans="1:11" x14ac:dyDescent="0.3">
      <c r="A99" t="s">
        <v>213</v>
      </c>
      <c r="B99" s="10">
        <v>45456</v>
      </c>
      <c r="C99" s="11" t="s">
        <v>195</v>
      </c>
      <c r="D99" s="13">
        <v>1450</v>
      </c>
      <c r="E99" s="12">
        <v>0</v>
      </c>
      <c r="F99" s="13">
        <v>-592</v>
      </c>
      <c r="G99" s="14"/>
      <c r="H99" s="19">
        <f>Table4[[#This Row],[Credit (₹)]]-Table4[[#This Row],[Debit (₹)]]</f>
        <v>-1450</v>
      </c>
      <c r="I99" t="s">
        <v>11</v>
      </c>
      <c r="J99" t="str">
        <f>_xlfn.XLOOKUP(Table4[[#This Row],[Subcategory]],Categories[Subcategory],Categories[Category],"Add Subcategory")</f>
        <v>Transport &amp; Travel</v>
      </c>
      <c r="K99" t="str">
        <f>_xlfn.XLOOKUP(Table4[[#This Row],[Subcategory]],Categories[Subcategory],Categories[Categorys Type],"Add Subcategory")</f>
        <v>Expense</v>
      </c>
    </row>
    <row r="100" spans="1:11" x14ac:dyDescent="0.3">
      <c r="A100" t="s">
        <v>259</v>
      </c>
      <c r="B100" s="10">
        <v>45456</v>
      </c>
      <c r="C100" s="11" t="s">
        <v>231</v>
      </c>
      <c r="D100" s="13">
        <v>6000</v>
      </c>
      <c r="E100" s="12">
        <v>0</v>
      </c>
      <c r="F100" s="13">
        <v>-42028</v>
      </c>
      <c r="G100" s="14"/>
      <c r="H100" s="19">
        <f>Table4[[#This Row],[Credit (₹)]]-Table4[[#This Row],[Debit (₹)]]</f>
        <v>-6000</v>
      </c>
      <c r="I100" t="s">
        <v>3</v>
      </c>
      <c r="J100" t="str">
        <f>_xlfn.XLOOKUP(Table4[[#This Row],[Subcategory]],Categories[Subcategory],Categories[Category],"Add Subcategory")</f>
        <v>Accommodation &amp; Utilities</v>
      </c>
      <c r="K100" t="str">
        <f>_xlfn.XLOOKUP(Table4[[#This Row],[Subcategory]],Categories[Subcategory],Categories[Categorys Type],"Add Subcategory")</f>
        <v>Expense</v>
      </c>
    </row>
    <row r="101" spans="1:11" x14ac:dyDescent="0.3">
      <c r="A101" t="s">
        <v>166</v>
      </c>
      <c r="B101" s="10">
        <v>45460</v>
      </c>
      <c r="C101" s="11" t="s">
        <v>111</v>
      </c>
      <c r="D101" s="13">
        <v>4000</v>
      </c>
      <c r="E101" s="12">
        <v>0</v>
      </c>
      <c r="F101" s="13">
        <v>-56227</v>
      </c>
      <c r="G101" s="14" t="s">
        <v>52</v>
      </c>
      <c r="H101" s="19">
        <f>Table4[[#This Row],[Credit (₹)]]-Table4[[#This Row],[Debit (₹)]]</f>
        <v>-4000</v>
      </c>
      <c r="I101" t="s">
        <v>5</v>
      </c>
      <c r="J101" t="str">
        <f>_xlfn.XLOOKUP(Table4[[#This Row],[Subcategory]],Categories[Subcategory],Categories[Category],"Add Subcategory")</f>
        <v>Food &amp; Daily Living</v>
      </c>
      <c r="K101" t="str">
        <f>_xlfn.XLOOKUP(Table4[[#This Row],[Subcategory]],Categories[Subcategory],Categories[Categorys Type],"Add Subcategory")</f>
        <v>Expense</v>
      </c>
    </row>
    <row r="102" spans="1:11" x14ac:dyDescent="0.3">
      <c r="A102" t="s">
        <v>259</v>
      </c>
      <c r="B102" s="10">
        <v>45460</v>
      </c>
      <c r="C102" s="11" t="s">
        <v>241</v>
      </c>
      <c r="D102" s="12">
        <v>0</v>
      </c>
      <c r="E102" s="13">
        <v>2000</v>
      </c>
      <c r="F102" s="13">
        <v>-40028</v>
      </c>
      <c r="G102" s="14"/>
      <c r="H102" s="19">
        <f>Table4[[#This Row],[Credit (₹)]]-Table4[[#This Row],[Debit (₹)]]</f>
        <v>2000</v>
      </c>
      <c r="I102" t="s">
        <v>37</v>
      </c>
      <c r="J102" t="str">
        <f>_xlfn.XLOOKUP(Table4[[#This Row],[Subcategory]],Categories[Subcategory],Categories[Category],"Add Subcategory")</f>
        <v>Earnings &amp; Work Income</v>
      </c>
      <c r="K102" t="str">
        <f>_xlfn.XLOOKUP(Table4[[#This Row],[Subcategory]],Categories[Subcategory],Categories[Categorys Type],"Add Subcategory")</f>
        <v>Income</v>
      </c>
    </row>
    <row r="103" spans="1:11" x14ac:dyDescent="0.3">
      <c r="A103" t="s">
        <v>166</v>
      </c>
      <c r="B103" s="10">
        <v>45471</v>
      </c>
      <c r="C103" s="11" t="s">
        <v>112</v>
      </c>
      <c r="D103" s="12">
        <v>0</v>
      </c>
      <c r="E103" s="13">
        <v>5000</v>
      </c>
      <c r="F103" s="13">
        <v>-51227</v>
      </c>
      <c r="G103" s="14" t="s">
        <v>113</v>
      </c>
      <c r="H103" s="19">
        <f>Table4[[#This Row],[Credit (₹)]]-Table4[[#This Row],[Debit (₹)]]</f>
        <v>5000</v>
      </c>
      <c r="I103" t="s">
        <v>36</v>
      </c>
      <c r="J103" t="str">
        <f>_xlfn.XLOOKUP(Table4[[#This Row],[Subcategory]],Categories[Subcategory],Categories[Category],"Add Subcategory")</f>
        <v>Family Support &amp; Financial Aid</v>
      </c>
      <c r="K103" t="str">
        <f>_xlfn.XLOOKUP(Table4[[#This Row],[Subcategory]],Categories[Subcategory],Categories[Categorys Type],"Add Subcategory")</f>
        <v>Income</v>
      </c>
    </row>
    <row r="104" spans="1:11" x14ac:dyDescent="0.3">
      <c r="A104" t="s">
        <v>166</v>
      </c>
      <c r="B104" s="10">
        <v>45475</v>
      </c>
      <c r="C104" s="11" t="s">
        <v>114</v>
      </c>
      <c r="D104" s="13">
        <v>799</v>
      </c>
      <c r="E104" s="12">
        <v>0</v>
      </c>
      <c r="F104" s="13">
        <v>-52026</v>
      </c>
      <c r="G104" s="14" t="s">
        <v>115</v>
      </c>
      <c r="H104" s="19">
        <f>Table4[[#This Row],[Credit (₹)]]-Table4[[#This Row],[Debit (₹)]]</f>
        <v>-799</v>
      </c>
      <c r="I104" t="s">
        <v>19</v>
      </c>
      <c r="J104" t="str">
        <f>_xlfn.XLOOKUP(Table4[[#This Row],[Subcategory]],Categories[Subcategory],Categories[Category],"Add Subcategory")</f>
        <v>Academic / Education Expenses</v>
      </c>
      <c r="K104" t="str">
        <f>_xlfn.XLOOKUP(Table4[[#This Row],[Subcategory]],Categories[Subcategory],Categories[Categorys Type],"Add Subcategory")</f>
        <v>Expense</v>
      </c>
    </row>
    <row r="105" spans="1:11" x14ac:dyDescent="0.3">
      <c r="A105" t="s">
        <v>259</v>
      </c>
      <c r="B105" s="10">
        <v>45475</v>
      </c>
      <c r="C105" s="11" t="s">
        <v>242</v>
      </c>
      <c r="D105" s="13">
        <v>1450</v>
      </c>
      <c r="E105" s="12">
        <v>0</v>
      </c>
      <c r="F105" s="13">
        <v>-41478</v>
      </c>
      <c r="G105" s="14"/>
      <c r="H105" s="19">
        <f>Table4[[#This Row],[Credit (₹)]]-Table4[[#This Row],[Debit (₹)]]</f>
        <v>-1450</v>
      </c>
      <c r="I105" t="s">
        <v>11</v>
      </c>
      <c r="J105" t="str">
        <f>_xlfn.XLOOKUP(Table4[[#This Row],[Subcategory]],Categories[Subcategory],Categories[Category],"Add Subcategory")</f>
        <v>Transport &amp; Travel</v>
      </c>
      <c r="K105" t="str">
        <f>_xlfn.XLOOKUP(Table4[[#This Row],[Subcategory]],Categories[Subcategory],Categories[Categorys Type],"Add Subcategory")</f>
        <v>Expense</v>
      </c>
    </row>
    <row r="106" spans="1:11" x14ac:dyDescent="0.3">
      <c r="A106" t="s">
        <v>166</v>
      </c>
      <c r="B106" s="10">
        <v>45478</v>
      </c>
      <c r="C106" s="11" t="s">
        <v>116</v>
      </c>
      <c r="D106" s="13">
        <v>1500</v>
      </c>
      <c r="E106" s="12">
        <v>0</v>
      </c>
      <c r="F106" s="13">
        <v>-53526</v>
      </c>
      <c r="G106" s="14" t="s">
        <v>117</v>
      </c>
      <c r="H106" s="19">
        <f>Table4[[#This Row],[Credit (₹)]]-Table4[[#This Row],[Debit (₹)]]</f>
        <v>-1500</v>
      </c>
      <c r="I106" t="s">
        <v>18</v>
      </c>
      <c r="J106" t="str">
        <f>_xlfn.XLOOKUP(Table4[[#This Row],[Subcategory]],Categories[Subcategory],Categories[Category],"Add Subcategory")</f>
        <v>Academic / Education Expenses</v>
      </c>
      <c r="K106" t="str">
        <f>_xlfn.XLOOKUP(Table4[[#This Row],[Subcategory]],Categories[Subcategory],Categories[Categorys Type],"Add Subcategory")</f>
        <v>Expense</v>
      </c>
    </row>
    <row r="107" spans="1:11" x14ac:dyDescent="0.3">
      <c r="A107" t="s">
        <v>166</v>
      </c>
      <c r="B107" s="10">
        <v>45481</v>
      </c>
      <c r="C107" s="11" t="s">
        <v>118</v>
      </c>
      <c r="D107" s="12">
        <v>0</v>
      </c>
      <c r="E107" s="13">
        <v>10000</v>
      </c>
      <c r="F107" s="13">
        <v>-43526</v>
      </c>
      <c r="G107" s="14" t="s">
        <v>46</v>
      </c>
      <c r="H107" s="19">
        <f>Table4[[#This Row],[Credit (₹)]]-Table4[[#This Row],[Debit (₹)]]</f>
        <v>10000</v>
      </c>
      <c r="I107" t="s">
        <v>34</v>
      </c>
      <c r="J107" t="str">
        <f>_xlfn.XLOOKUP(Table4[[#This Row],[Subcategory]],Categories[Subcategory],Categories[Category],"Add Subcategory")</f>
        <v>Family Support &amp; Financial Aid</v>
      </c>
      <c r="K107" t="str">
        <f>_xlfn.XLOOKUP(Table4[[#This Row],[Subcategory]],Categories[Subcategory],Categories[Categorys Type],"Add Subcategory")</f>
        <v>Income</v>
      </c>
    </row>
    <row r="108" spans="1:11" x14ac:dyDescent="0.3">
      <c r="A108" t="s">
        <v>166</v>
      </c>
      <c r="B108" s="10">
        <v>45487</v>
      </c>
      <c r="C108" s="11" t="s">
        <v>119</v>
      </c>
      <c r="D108" s="13">
        <v>6000</v>
      </c>
      <c r="E108" s="12">
        <v>0</v>
      </c>
      <c r="F108" s="13">
        <v>-49526</v>
      </c>
      <c r="G108" s="14" t="s">
        <v>120</v>
      </c>
      <c r="H108" s="19">
        <f>Table4[[#This Row],[Credit (₹)]]-Table4[[#This Row],[Debit (₹)]]</f>
        <v>-6000</v>
      </c>
      <c r="I108" t="s">
        <v>3</v>
      </c>
      <c r="J108" t="str">
        <f>_xlfn.XLOOKUP(Table4[[#This Row],[Subcategory]],Categories[Subcategory],Categories[Category],"Add Subcategory")</f>
        <v>Accommodation &amp; Utilities</v>
      </c>
      <c r="K108" t="str">
        <f>_xlfn.XLOOKUP(Table4[[#This Row],[Subcategory]],Categories[Subcategory],Categories[Categorys Type],"Add Subcategory")</f>
        <v>Expense</v>
      </c>
    </row>
    <row r="109" spans="1:11" x14ac:dyDescent="0.3">
      <c r="A109" t="s">
        <v>166</v>
      </c>
      <c r="B109" s="10">
        <v>45495</v>
      </c>
      <c r="C109" s="11" t="s">
        <v>121</v>
      </c>
      <c r="D109" s="13">
        <v>4000</v>
      </c>
      <c r="E109" s="12">
        <v>0</v>
      </c>
      <c r="F109" s="13">
        <v>-53526</v>
      </c>
      <c r="G109" s="14" t="s">
        <v>52</v>
      </c>
      <c r="H109" s="19">
        <f>Table4[[#This Row],[Credit (₹)]]-Table4[[#This Row],[Debit (₹)]]</f>
        <v>-4000</v>
      </c>
      <c r="I109" t="s">
        <v>5</v>
      </c>
      <c r="J109" t="str">
        <f>_xlfn.XLOOKUP(Table4[[#This Row],[Subcategory]],Categories[Subcategory],Categories[Category],"Add Subcategory")</f>
        <v>Food &amp; Daily Living</v>
      </c>
      <c r="K109" t="str">
        <f>_xlfn.XLOOKUP(Table4[[#This Row],[Subcategory]],Categories[Subcategory],Categories[Categorys Type],"Add Subcategory")</f>
        <v>Expense</v>
      </c>
    </row>
    <row r="110" spans="1:11" x14ac:dyDescent="0.3">
      <c r="A110" t="s">
        <v>259</v>
      </c>
      <c r="B110" s="10">
        <v>45495</v>
      </c>
      <c r="C110" s="11" t="s">
        <v>229</v>
      </c>
      <c r="D110" s="12">
        <v>0</v>
      </c>
      <c r="E110" s="13">
        <v>10000</v>
      </c>
      <c r="F110" s="13">
        <v>-31478</v>
      </c>
      <c r="G110" s="14"/>
      <c r="H110" s="19">
        <f>Table4[[#This Row],[Credit (₹)]]-Table4[[#This Row],[Debit (₹)]]</f>
        <v>10000</v>
      </c>
      <c r="I110" t="s">
        <v>34</v>
      </c>
      <c r="J110" t="str">
        <f>_xlfn.XLOOKUP(Table4[[#This Row],[Subcategory]],Categories[Subcategory],Categories[Category],"Add Subcategory")</f>
        <v>Family Support &amp; Financial Aid</v>
      </c>
      <c r="K110" t="str">
        <f>_xlfn.XLOOKUP(Table4[[#This Row],[Subcategory]],Categories[Subcategory],Categories[Categorys Type],"Add Subcategory")</f>
        <v>Income</v>
      </c>
    </row>
    <row r="111" spans="1:11" x14ac:dyDescent="0.3">
      <c r="A111" t="s">
        <v>166</v>
      </c>
      <c r="B111" s="10">
        <v>45497</v>
      </c>
      <c r="C111" s="11" t="s">
        <v>122</v>
      </c>
      <c r="D111" s="13">
        <v>900</v>
      </c>
      <c r="E111" s="12">
        <v>0</v>
      </c>
      <c r="F111" s="13">
        <v>-54426</v>
      </c>
      <c r="G111" s="14" t="s">
        <v>123</v>
      </c>
      <c r="H111" s="19">
        <f>Table4[[#This Row],[Credit (₹)]]-Table4[[#This Row],[Debit (₹)]]</f>
        <v>-900</v>
      </c>
      <c r="I111" t="s">
        <v>17</v>
      </c>
      <c r="J111" t="str">
        <f>_xlfn.XLOOKUP(Table4[[#This Row],[Subcategory]],Categories[Subcategory],Categories[Category],"Add Subcategory")</f>
        <v>Personal Care &amp; Lifestyle</v>
      </c>
      <c r="K111" t="str">
        <f>_xlfn.XLOOKUP(Table4[[#This Row],[Subcategory]],Categories[Subcategory],Categories[Categorys Type],"Add Subcategory")</f>
        <v>Expense</v>
      </c>
    </row>
    <row r="112" spans="1:11" x14ac:dyDescent="0.3">
      <c r="A112" t="s">
        <v>166</v>
      </c>
      <c r="B112" s="10">
        <v>45497</v>
      </c>
      <c r="C112" s="11" t="s">
        <v>124</v>
      </c>
      <c r="D112" s="13">
        <v>1200</v>
      </c>
      <c r="E112" s="12">
        <v>0</v>
      </c>
      <c r="F112" s="13">
        <v>-55626</v>
      </c>
      <c r="G112" s="14"/>
      <c r="H112" s="19">
        <f>Table4[[#This Row],[Credit (₹)]]-Table4[[#This Row],[Debit (₹)]]</f>
        <v>-1200</v>
      </c>
      <c r="I112" t="s">
        <v>6</v>
      </c>
      <c r="J112" t="str">
        <f>_xlfn.XLOOKUP(Table4[[#This Row],[Subcategory]],Categories[Subcategory],Categories[Category],"Add Subcategory")</f>
        <v>Food &amp; Daily Living</v>
      </c>
      <c r="K112" t="str">
        <f>_xlfn.XLOOKUP(Table4[[#This Row],[Subcategory]],Categories[Subcategory],Categories[Categorys Type],"Add Subcategory")</f>
        <v>Expense</v>
      </c>
    </row>
    <row r="113" spans="1:11" x14ac:dyDescent="0.3">
      <c r="A113" t="s">
        <v>259</v>
      </c>
      <c r="B113" s="10">
        <v>45497</v>
      </c>
      <c r="C113" s="11" t="s">
        <v>230</v>
      </c>
      <c r="D113" s="13">
        <v>4000</v>
      </c>
      <c r="E113" s="12">
        <v>0</v>
      </c>
      <c r="F113" s="13">
        <v>-35478</v>
      </c>
      <c r="G113" s="14"/>
      <c r="H113" s="19">
        <f>Table4[[#This Row],[Credit (₹)]]-Table4[[#This Row],[Debit (₹)]]</f>
        <v>-4000</v>
      </c>
      <c r="I113" t="s">
        <v>5</v>
      </c>
      <c r="J113" t="str">
        <f>_xlfn.XLOOKUP(Table4[[#This Row],[Subcategory]],Categories[Subcategory],Categories[Category],"Add Subcategory")</f>
        <v>Food &amp; Daily Living</v>
      </c>
      <c r="K113" t="str">
        <f>_xlfn.XLOOKUP(Table4[[#This Row],[Subcategory]],Categories[Subcategory],Categories[Categorys Type],"Add Subcategory")</f>
        <v>Expense</v>
      </c>
    </row>
    <row r="114" spans="1:11" x14ac:dyDescent="0.3">
      <c r="A114" t="s">
        <v>166</v>
      </c>
      <c r="B114" s="10">
        <v>45537</v>
      </c>
      <c r="C114" s="11" t="s">
        <v>125</v>
      </c>
      <c r="D114" s="12">
        <v>0</v>
      </c>
      <c r="E114" s="13">
        <v>10000</v>
      </c>
      <c r="F114" s="13">
        <v>-45626</v>
      </c>
      <c r="G114" s="14" t="s">
        <v>46</v>
      </c>
      <c r="H114" s="19">
        <f>Table4[[#This Row],[Credit (₹)]]-Table4[[#This Row],[Debit (₹)]]</f>
        <v>10000</v>
      </c>
      <c r="I114" t="s">
        <v>34</v>
      </c>
      <c r="J114" t="str">
        <f>_xlfn.XLOOKUP(Table4[[#This Row],[Subcategory]],Categories[Subcategory],Categories[Category],"Add Subcategory")</f>
        <v>Family Support &amp; Financial Aid</v>
      </c>
      <c r="K114" t="str">
        <f>_xlfn.XLOOKUP(Table4[[#This Row],[Subcategory]],Categories[Subcategory],Categories[Categorys Type],"Add Subcategory")</f>
        <v>Income</v>
      </c>
    </row>
    <row r="115" spans="1:11" x14ac:dyDescent="0.3">
      <c r="A115" t="s">
        <v>213</v>
      </c>
      <c r="B115" s="10">
        <v>45537</v>
      </c>
      <c r="C115" s="11" t="s">
        <v>181</v>
      </c>
      <c r="D115" s="12">
        <v>0</v>
      </c>
      <c r="E115" s="13">
        <v>5000</v>
      </c>
      <c r="F115" s="13">
        <v>-5592</v>
      </c>
      <c r="G115" s="14"/>
      <c r="H115" s="19">
        <f>Table4[[#This Row],[Credit (₹)]]-Table4[[#This Row],[Debit (₹)]]</f>
        <v>5000</v>
      </c>
      <c r="I115" t="s">
        <v>35</v>
      </c>
      <c r="J115" t="str">
        <f>_xlfn.XLOOKUP(Table4[[#This Row],[Subcategory]],Categories[Subcategory],Categories[Category],"Add Subcategory")</f>
        <v>Family Support &amp; Financial Aid</v>
      </c>
      <c r="K115" t="str">
        <f>_xlfn.XLOOKUP(Table4[[#This Row],[Subcategory]],Categories[Subcategory],Categories[Categorys Type],"Add Subcategory")</f>
        <v>Income</v>
      </c>
    </row>
    <row r="116" spans="1:11" x14ac:dyDescent="0.3">
      <c r="A116" t="s">
        <v>259</v>
      </c>
      <c r="B116" s="10">
        <v>45537</v>
      </c>
      <c r="C116" s="11" t="s">
        <v>231</v>
      </c>
      <c r="D116" s="13">
        <v>6000</v>
      </c>
      <c r="E116" s="12">
        <v>0</v>
      </c>
      <c r="F116" s="13">
        <v>-41478</v>
      </c>
      <c r="G116" s="14"/>
      <c r="H116" s="19">
        <f>Table4[[#This Row],[Credit (₹)]]-Table4[[#This Row],[Debit (₹)]]</f>
        <v>-6000</v>
      </c>
      <c r="I116" t="s">
        <v>3</v>
      </c>
      <c r="J116" t="str">
        <f>_xlfn.XLOOKUP(Table4[[#This Row],[Subcategory]],Categories[Subcategory],Categories[Category],"Add Subcategory")</f>
        <v>Accommodation &amp; Utilities</v>
      </c>
      <c r="K116" t="str">
        <f>_xlfn.XLOOKUP(Table4[[#This Row],[Subcategory]],Categories[Subcategory],Categories[Categorys Type],"Add Subcategory")</f>
        <v>Expense</v>
      </c>
    </row>
    <row r="117" spans="1:11" x14ac:dyDescent="0.3">
      <c r="A117" t="s">
        <v>166</v>
      </c>
      <c r="B117" s="10">
        <v>45540</v>
      </c>
      <c r="C117" s="11" t="s">
        <v>126</v>
      </c>
      <c r="D117" s="13">
        <v>6000</v>
      </c>
      <c r="E117" s="12">
        <v>0</v>
      </c>
      <c r="F117" s="13">
        <v>-51626</v>
      </c>
      <c r="G117" s="14" t="s">
        <v>127</v>
      </c>
      <c r="H117" s="19">
        <f>Table4[[#This Row],[Credit (₹)]]-Table4[[#This Row],[Debit (₹)]]</f>
        <v>-6000</v>
      </c>
      <c r="I117" t="s">
        <v>3</v>
      </c>
      <c r="J117" t="str">
        <f>_xlfn.XLOOKUP(Table4[[#This Row],[Subcategory]],Categories[Subcategory],Categories[Category],"Add Subcategory")</f>
        <v>Accommodation &amp; Utilities</v>
      </c>
      <c r="K117" t="str">
        <f>_xlfn.XLOOKUP(Table4[[#This Row],[Subcategory]],Categories[Subcategory],Categories[Categorys Type],"Add Subcategory")</f>
        <v>Expense</v>
      </c>
    </row>
    <row r="118" spans="1:11" x14ac:dyDescent="0.3">
      <c r="A118" t="s">
        <v>166</v>
      </c>
      <c r="B118" s="10">
        <v>45540</v>
      </c>
      <c r="C118" s="11" t="s">
        <v>128</v>
      </c>
      <c r="D118" s="13">
        <v>4000</v>
      </c>
      <c r="E118" s="12">
        <v>0</v>
      </c>
      <c r="F118" s="13">
        <v>-55626</v>
      </c>
      <c r="G118" s="14" t="s">
        <v>52</v>
      </c>
      <c r="H118" s="19">
        <f>Table4[[#This Row],[Credit (₹)]]-Table4[[#This Row],[Debit (₹)]]</f>
        <v>-4000</v>
      </c>
      <c r="I118" t="s">
        <v>5</v>
      </c>
      <c r="J118" t="str">
        <f>_xlfn.XLOOKUP(Table4[[#This Row],[Subcategory]],Categories[Subcategory],Categories[Category],"Add Subcategory")</f>
        <v>Food &amp; Daily Living</v>
      </c>
      <c r="K118" t="str">
        <f>_xlfn.XLOOKUP(Table4[[#This Row],[Subcategory]],Categories[Subcategory],Categories[Categorys Type],"Add Subcategory")</f>
        <v>Expense</v>
      </c>
    </row>
    <row r="119" spans="1:11" x14ac:dyDescent="0.3">
      <c r="A119" t="s">
        <v>213</v>
      </c>
      <c r="B119" s="10">
        <v>45540</v>
      </c>
      <c r="C119" s="11" t="s">
        <v>196</v>
      </c>
      <c r="D119" s="13">
        <v>999</v>
      </c>
      <c r="E119" s="12">
        <v>0</v>
      </c>
      <c r="F119" s="13">
        <v>-4593</v>
      </c>
      <c r="G119" s="14"/>
      <c r="H119" s="19">
        <f>Table4[[#This Row],[Credit (₹)]]-Table4[[#This Row],[Debit (₹)]]</f>
        <v>-999</v>
      </c>
      <c r="I119" t="s">
        <v>7</v>
      </c>
      <c r="J119" t="str">
        <f>_xlfn.XLOOKUP(Table4[[#This Row],[Subcategory]],Categories[Subcategory],Categories[Category],"Add Subcategory")</f>
        <v>Academic / Education Expenses</v>
      </c>
      <c r="K119" t="str">
        <f>_xlfn.XLOOKUP(Table4[[#This Row],[Subcategory]],Categories[Subcategory],Categories[Categorys Type],"Add Subcategory")</f>
        <v>Expense</v>
      </c>
    </row>
    <row r="120" spans="1:11" x14ac:dyDescent="0.3">
      <c r="A120" t="s">
        <v>213</v>
      </c>
      <c r="B120" s="10">
        <v>45540</v>
      </c>
      <c r="C120" s="11" t="s">
        <v>197</v>
      </c>
      <c r="D120" s="13">
        <v>799</v>
      </c>
      <c r="E120" s="12">
        <v>0</v>
      </c>
      <c r="F120" s="13">
        <v>-3794</v>
      </c>
      <c r="G120" s="14"/>
      <c r="H120" s="19">
        <f>Table4[[#This Row],[Credit (₹)]]-Table4[[#This Row],[Debit (₹)]]</f>
        <v>-799</v>
      </c>
      <c r="I120" t="s">
        <v>12</v>
      </c>
      <c r="J120" t="str">
        <f>_xlfn.XLOOKUP(Table4[[#This Row],[Subcategory]],Categories[Subcategory],Categories[Category],"Add Subcategory")</f>
        <v>Personal Care &amp; Lifestyle</v>
      </c>
      <c r="K120" t="str">
        <f>_xlfn.XLOOKUP(Table4[[#This Row],[Subcategory]],Categories[Subcategory],Categories[Categorys Type],"Add Subcategory")</f>
        <v>Expense</v>
      </c>
    </row>
    <row r="121" spans="1:11" x14ac:dyDescent="0.3">
      <c r="A121" t="s">
        <v>259</v>
      </c>
      <c r="B121" s="10">
        <v>45540</v>
      </c>
      <c r="C121" s="11" t="s">
        <v>243</v>
      </c>
      <c r="D121" s="13">
        <v>120000</v>
      </c>
      <c r="E121" s="12">
        <v>0</v>
      </c>
      <c r="F121" s="13">
        <v>-161478</v>
      </c>
      <c r="G121" s="14" t="s">
        <v>244</v>
      </c>
      <c r="H121" s="19">
        <f>Table4[[#This Row],[Credit (₹)]]-Table4[[#This Row],[Debit (₹)]]</f>
        <v>-120000</v>
      </c>
      <c r="I121" t="s">
        <v>0</v>
      </c>
      <c r="J121" t="str">
        <f>_xlfn.XLOOKUP(Table4[[#This Row],[Subcategory]],Categories[Subcategory],Categories[Category],"Add Subcategory")</f>
        <v>Academic / Education Expenses</v>
      </c>
      <c r="K121" t="str">
        <f>_xlfn.XLOOKUP(Table4[[#This Row],[Subcategory]],Categories[Subcategory],Categories[Categorys Type],"Add Subcategory")</f>
        <v>Expense</v>
      </c>
    </row>
    <row r="122" spans="1:11" x14ac:dyDescent="0.3">
      <c r="A122" t="s">
        <v>259</v>
      </c>
      <c r="B122" s="10">
        <v>45540</v>
      </c>
      <c r="C122" s="11" t="s">
        <v>245</v>
      </c>
      <c r="D122" s="12">
        <v>0</v>
      </c>
      <c r="E122" s="13">
        <v>80000</v>
      </c>
      <c r="F122" s="13">
        <v>-81478</v>
      </c>
      <c r="G122" s="14" t="s">
        <v>246</v>
      </c>
      <c r="H122" s="19">
        <f>Table4[[#This Row],[Credit (₹)]]-Table4[[#This Row],[Debit (₹)]]</f>
        <v>80000</v>
      </c>
      <c r="I122" t="s">
        <v>35</v>
      </c>
      <c r="J122" t="str">
        <f>_xlfn.XLOOKUP(Table4[[#This Row],[Subcategory]],Categories[Subcategory],Categories[Category],"Add Subcategory")</f>
        <v>Family Support &amp; Financial Aid</v>
      </c>
      <c r="K122" t="str">
        <f>_xlfn.XLOOKUP(Table4[[#This Row],[Subcategory]],Categories[Subcategory],Categories[Categorys Type],"Add Subcategory")</f>
        <v>Income</v>
      </c>
    </row>
    <row r="123" spans="1:11" x14ac:dyDescent="0.3">
      <c r="A123" t="s">
        <v>166</v>
      </c>
      <c r="B123" s="10">
        <v>45567</v>
      </c>
      <c r="C123" s="11" t="s">
        <v>129</v>
      </c>
      <c r="D123" s="12">
        <v>0</v>
      </c>
      <c r="E123" s="13">
        <v>15000</v>
      </c>
      <c r="F123" s="13">
        <v>-40626</v>
      </c>
      <c r="G123" s="14" t="s">
        <v>130</v>
      </c>
      <c r="H123" s="19">
        <f>Table4[[#This Row],[Credit (₹)]]-Table4[[#This Row],[Debit (₹)]]</f>
        <v>15000</v>
      </c>
      <c r="I123" t="s">
        <v>37</v>
      </c>
      <c r="J123" t="str">
        <f>_xlfn.XLOOKUP(Table4[[#This Row],[Subcategory]],Categories[Subcategory],Categories[Category],"Add Subcategory")</f>
        <v>Earnings &amp; Work Income</v>
      </c>
      <c r="K123" t="str">
        <f>_xlfn.XLOOKUP(Table4[[#This Row],[Subcategory]],Categories[Subcategory],Categories[Categorys Type],"Add Subcategory")</f>
        <v>Income</v>
      </c>
    </row>
    <row r="124" spans="1:11" x14ac:dyDescent="0.3">
      <c r="A124" t="s">
        <v>213</v>
      </c>
      <c r="B124" s="10">
        <v>45567</v>
      </c>
      <c r="C124" s="11" t="s">
        <v>198</v>
      </c>
      <c r="D124" s="13">
        <v>549</v>
      </c>
      <c r="E124" s="12">
        <v>0</v>
      </c>
      <c r="F124" s="13">
        <v>-3245</v>
      </c>
      <c r="G124" s="14"/>
      <c r="H124" s="19">
        <f>Table4[[#This Row],[Credit (₹)]]-Table4[[#This Row],[Debit (₹)]]</f>
        <v>-549</v>
      </c>
      <c r="I124" t="s">
        <v>6</v>
      </c>
      <c r="J124" t="str">
        <f>_xlfn.XLOOKUP(Table4[[#This Row],[Subcategory]],Categories[Subcategory],Categories[Category],"Add Subcategory")</f>
        <v>Food &amp; Daily Living</v>
      </c>
      <c r="K124" t="str">
        <f>_xlfn.XLOOKUP(Table4[[#This Row],[Subcategory]],Categories[Subcategory],Categories[Categorys Type],"Add Subcategory")</f>
        <v>Expense</v>
      </c>
    </row>
    <row r="125" spans="1:11" x14ac:dyDescent="0.3">
      <c r="A125" t="s">
        <v>259</v>
      </c>
      <c r="B125" s="10">
        <v>45567</v>
      </c>
      <c r="C125" s="11" t="s">
        <v>247</v>
      </c>
      <c r="D125" s="12">
        <v>0</v>
      </c>
      <c r="E125" s="13">
        <v>15000</v>
      </c>
      <c r="F125" s="13">
        <v>-66478</v>
      </c>
      <c r="G125" s="14"/>
      <c r="H125" s="19">
        <f>Table4[[#This Row],[Credit (₹)]]-Table4[[#This Row],[Debit (₹)]]</f>
        <v>15000</v>
      </c>
      <c r="I125" t="s">
        <v>37</v>
      </c>
      <c r="J125" t="str">
        <f>_xlfn.XLOOKUP(Table4[[#This Row],[Subcategory]],Categories[Subcategory],Categories[Category],"Add Subcategory")</f>
        <v>Earnings &amp; Work Income</v>
      </c>
      <c r="K125" t="str">
        <f>_xlfn.XLOOKUP(Table4[[#This Row],[Subcategory]],Categories[Subcategory],Categories[Categorys Type],"Add Subcategory")</f>
        <v>Income</v>
      </c>
    </row>
    <row r="126" spans="1:11" x14ac:dyDescent="0.3">
      <c r="A126" t="s">
        <v>166</v>
      </c>
      <c r="B126" s="10">
        <v>45572</v>
      </c>
      <c r="C126" s="11" t="s">
        <v>131</v>
      </c>
      <c r="D126" s="13">
        <v>2500</v>
      </c>
      <c r="E126" s="12">
        <v>0</v>
      </c>
      <c r="F126" s="13">
        <v>-43126</v>
      </c>
      <c r="G126" s="14" t="s">
        <v>132</v>
      </c>
      <c r="H126" s="19">
        <f>Table4[[#This Row],[Credit (₹)]]-Table4[[#This Row],[Debit (₹)]]</f>
        <v>-2500</v>
      </c>
      <c r="I126" t="s">
        <v>11</v>
      </c>
      <c r="J126" t="str">
        <f>_xlfn.XLOOKUP(Table4[[#This Row],[Subcategory]],Categories[Subcategory],Categories[Category],"Add Subcategory")</f>
        <v>Transport &amp; Travel</v>
      </c>
      <c r="K126" t="str">
        <f>_xlfn.XLOOKUP(Table4[[#This Row],[Subcategory]],Categories[Subcategory],Categories[Categorys Type],"Add Subcategory")</f>
        <v>Expense</v>
      </c>
    </row>
    <row r="127" spans="1:11" x14ac:dyDescent="0.3">
      <c r="A127" t="s">
        <v>166</v>
      </c>
      <c r="B127" s="10">
        <v>45578</v>
      </c>
      <c r="C127" s="11" t="s">
        <v>133</v>
      </c>
      <c r="D127" s="12">
        <v>0</v>
      </c>
      <c r="E127" s="13">
        <v>5000</v>
      </c>
      <c r="F127" s="13">
        <v>-38126</v>
      </c>
      <c r="G127" s="14" t="s">
        <v>134</v>
      </c>
      <c r="H127" s="19">
        <f>Table4[[#This Row],[Credit (₹)]]-Table4[[#This Row],[Debit (₹)]]</f>
        <v>5000</v>
      </c>
      <c r="I127" t="s">
        <v>36</v>
      </c>
      <c r="J127" t="str">
        <f>_xlfn.XLOOKUP(Table4[[#This Row],[Subcategory]],Categories[Subcategory],Categories[Category],"Add Subcategory")</f>
        <v>Family Support &amp; Financial Aid</v>
      </c>
      <c r="K127" t="str">
        <f>_xlfn.XLOOKUP(Table4[[#This Row],[Subcategory]],Categories[Subcategory],Categories[Categorys Type],"Add Subcategory")</f>
        <v>Income</v>
      </c>
    </row>
    <row r="128" spans="1:11" x14ac:dyDescent="0.3">
      <c r="A128" t="s">
        <v>259</v>
      </c>
      <c r="B128" s="10">
        <v>45578</v>
      </c>
      <c r="C128" s="11" t="s">
        <v>248</v>
      </c>
      <c r="D128" s="13">
        <v>5000</v>
      </c>
      <c r="E128" s="12">
        <v>0</v>
      </c>
      <c r="F128" s="13">
        <v>-71478</v>
      </c>
      <c r="G128" s="14"/>
      <c r="H128" s="19">
        <f>Table4[[#This Row],[Credit (₹)]]-Table4[[#This Row],[Debit (₹)]]</f>
        <v>-5000</v>
      </c>
      <c r="I128" t="s">
        <v>11</v>
      </c>
      <c r="J128" t="str">
        <f>_xlfn.XLOOKUP(Table4[[#This Row],[Subcategory]],Categories[Subcategory],Categories[Category],"Add Subcategory")</f>
        <v>Transport &amp; Travel</v>
      </c>
      <c r="K128" t="str">
        <f>_xlfn.XLOOKUP(Table4[[#This Row],[Subcategory]],Categories[Subcategory],Categories[Categorys Type],"Add Subcategory")</f>
        <v>Expense</v>
      </c>
    </row>
    <row r="129" spans="1:11" x14ac:dyDescent="0.3">
      <c r="A129" t="s">
        <v>166</v>
      </c>
      <c r="B129" s="10">
        <v>45625</v>
      </c>
      <c r="C129" s="11" t="s">
        <v>135</v>
      </c>
      <c r="D129" s="13">
        <v>5000</v>
      </c>
      <c r="E129" s="12">
        <v>0</v>
      </c>
      <c r="F129" s="13">
        <v>-43126</v>
      </c>
      <c r="G129" s="14" t="s">
        <v>136</v>
      </c>
      <c r="H129" s="19">
        <f>Table4[[#This Row],[Credit (₹)]]-Table4[[#This Row],[Debit (₹)]]</f>
        <v>-5000</v>
      </c>
      <c r="I129" t="s">
        <v>11</v>
      </c>
      <c r="J129" t="str">
        <f>_xlfn.XLOOKUP(Table4[[#This Row],[Subcategory]],Categories[Subcategory],Categories[Category],"Add Subcategory")</f>
        <v>Transport &amp; Travel</v>
      </c>
      <c r="K129" t="str">
        <f>_xlfn.XLOOKUP(Table4[[#This Row],[Subcategory]],Categories[Subcategory],Categories[Categorys Type],"Add Subcategory")</f>
        <v>Expense</v>
      </c>
    </row>
    <row r="130" spans="1:11" x14ac:dyDescent="0.3">
      <c r="A130" t="s">
        <v>213</v>
      </c>
      <c r="B130" s="10">
        <v>45625</v>
      </c>
      <c r="C130" s="11" t="s">
        <v>199</v>
      </c>
      <c r="D130" s="13">
        <v>320</v>
      </c>
      <c r="E130" s="12">
        <v>0</v>
      </c>
      <c r="F130" s="13">
        <v>-2925</v>
      </c>
      <c r="G130" s="14"/>
      <c r="H130" s="19">
        <f>Table4[[#This Row],[Credit (₹)]]-Table4[[#This Row],[Debit (₹)]]</f>
        <v>-320</v>
      </c>
      <c r="I130" t="s">
        <v>16</v>
      </c>
      <c r="J130" t="str">
        <f>_xlfn.XLOOKUP(Table4[[#This Row],[Subcategory]],Categories[Subcategory],Categories[Category],"Add Subcategory")</f>
        <v>Health &amp; Medical</v>
      </c>
      <c r="K130" t="str">
        <f>_xlfn.XLOOKUP(Table4[[#This Row],[Subcategory]],Categories[Subcategory],Categories[Categorys Type],"Add Subcategory")</f>
        <v>Expense</v>
      </c>
    </row>
    <row r="131" spans="1:11" x14ac:dyDescent="0.3">
      <c r="A131" t="s">
        <v>259</v>
      </c>
      <c r="B131" s="10">
        <v>45625</v>
      </c>
      <c r="C131" s="11" t="s">
        <v>249</v>
      </c>
      <c r="D131" s="13">
        <v>3500</v>
      </c>
      <c r="E131" s="12">
        <v>0</v>
      </c>
      <c r="F131" s="13">
        <v>-74978</v>
      </c>
      <c r="G131" s="14"/>
      <c r="H131" s="19">
        <f>Table4[[#This Row],[Credit (₹)]]-Table4[[#This Row],[Debit (₹)]]</f>
        <v>-3500</v>
      </c>
      <c r="I131" t="s">
        <v>5</v>
      </c>
      <c r="J131" t="str">
        <f>_xlfn.XLOOKUP(Table4[[#This Row],[Subcategory]],Categories[Subcategory],Categories[Category],"Add Subcategory")</f>
        <v>Food &amp; Daily Living</v>
      </c>
      <c r="K131" t="str">
        <f>_xlfn.XLOOKUP(Table4[[#This Row],[Subcategory]],Categories[Subcategory],Categories[Categorys Type],"Add Subcategory")</f>
        <v>Expense</v>
      </c>
    </row>
    <row r="132" spans="1:11" x14ac:dyDescent="0.3">
      <c r="A132" t="s">
        <v>166</v>
      </c>
      <c r="B132" s="10">
        <v>45657</v>
      </c>
      <c r="C132" s="11" t="s">
        <v>137</v>
      </c>
      <c r="D132" s="13">
        <v>3500</v>
      </c>
      <c r="E132" s="12">
        <v>0</v>
      </c>
      <c r="F132" s="13">
        <v>-46626</v>
      </c>
      <c r="G132" s="14"/>
      <c r="H132" s="19">
        <f>Table4[[#This Row],[Credit (₹)]]-Table4[[#This Row],[Debit (₹)]]</f>
        <v>-3500</v>
      </c>
      <c r="I132" t="s">
        <v>5</v>
      </c>
      <c r="J132" t="str">
        <f>_xlfn.XLOOKUP(Table4[[#This Row],[Subcategory]],Categories[Subcategory],Categories[Category],"Add Subcategory")</f>
        <v>Food &amp; Daily Living</v>
      </c>
      <c r="K132" t="str">
        <f>_xlfn.XLOOKUP(Table4[[#This Row],[Subcategory]],Categories[Subcategory],Categories[Categorys Type],"Add Subcategory")</f>
        <v>Expense</v>
      </c>
    </row>
    <row r="133" spans="1:11" x14ac:dyDescent="0.3">
      <c r="A133" t="s">
        <v>259</v>
      </c>
      <c r="B133" s="10">
        <v>45657</v>
      </c>
      <c r="C133" s="11" t="s">
        <v>250</v>
      </c>
      <c r="D133" s="12">
        <v>0</v>
      </c>
      <c r="E133" s="13">
        <v>15000</v>
      </c>
      <c r="F133" s="13">
        <v>-59978</v>
      </c>
      <c r="G133" s="14"/>
      <c r="H133" s="19">
        <f>Table4[[#This Row],[Credit (₹)]]-Table4[[#This Row],[Debit (₹)]]</f>
        <v>15000</v>
      </c>
      <c r="I133" t="s">
        <v>37</v>
      </c>
      <c r="J133" t="str">
        <f>_xlfn.XLOOKUP(Table4[[#This Row],[Subcategory]],Categories[Subcategory],Categories[Category],"Add Subcategory")</f>
        <v>Earnings &amp; Work Income</v>
      </c>
      <c r="K133" t="str">
        <f>_xlfn.XLOOKUP(Table4[[#This Row],[Subcategory]],Categories[Subcategory],Categories[Categorys Type],"Add Subcategory")</f>
        <v>Income</v>
      </c>
    </row>
    <row r="134" spans="1:11" x14ac:dyDescent="0.3">
      <c r="A134" t="s">
        <v>166</v>
      </c>
      <c r="B134" s="10">
        <v>45666</v>
      </c>
      <c r="C134" s="11" t="s">
        <v>129</v>
      </c>
      <c r="D134" s="12">
        <v>0</v>
      </c>
      <c r="E134" s="13">
        <v>15000</v>
      </c>
      <c r="F134" s="13">
        <v>-31626</v>
      </c>
      <c r="G134" s="14" t="s">
        <v>138</v>
      </c>
      <c r="H134" s="19">
        <f>Table4[[#This Row],[Credit (₹)]]-Table4[[#This Row],[Debit (₹)]]</f>
        <v>15000</v>
      </c>
      <c r="I134" t="s">
        <v>37</v>
      </c>
      <c r="J134" t="str">
        <f>_xlfn.XLOOKUP(Table4[[#This Row],[Subcategory]],Categories[Subcategory],Categories[Category],"Add Subcategory")</f>
        <v>Earnings &amp; Work Income</v>
      </c>
      <c r="K134" t="str">
        <f>_xlfn.XLOOKUP(Table4[[#This Row],[Subcategory]],Categories[Subcategory],Categories[Categorys Type],"Add Subcategory")</f>
        <v>Income</v>
      </c>
    </row>
    <row r="135" spans="1:11" x14ac:dyDescent="0.3">
      <c r="A135" t="s">
        <v>166</v>
      </c>
      <c r="B135" s="10">
        <v>45666</v>
      </c>
      <c r="C135" s="11" t="s">
        <v>139</v>
      </c>
      <c r="D135" s="13">
        <v>120000</v>
      </c>
      <c r="E135" s="12">
        <v>0</v>
      </c>
      <c r="F135" s="13">
        <v>-151626</v>
      </c>
      <c r="G135" s="14" t="s">
        <v>140</v>
      </c>
      <c r="H135" s="19">
        <f>Table4[[#This Row],[Credit (₹)]]-Table4[[#This Row],[Debit (₹)]]</f>
        <v>-120000</v>
      </c>
      <c r="I135" t="s">
        <v>0</v>
      </c>
      <c r="J135" t="str">
        <f>_xlfn.XLOOKUP(Table4[[#This Row],[Subcategory]],Categories[Subcategory],Categories[Category],"Add Subcategory")</f>
        <v>Academic / Education Expenses</v>
      </c>
      <c r="K135" t="str">
        <f>_xlfn.XLOOKUP(Table4[[#This Row],[Subcategory]],Categories[Subcategory],Categories[Categorys Type],"Add Subcategory")</f>
        <v>Expense</v>
      </c>
    </row>
    <row r="136" spans="1:11" x14ac:dyDescent="0.3">
      <c r="A136" t="s">
        <v>213</v>
      </c>
      <c r="B136" s="10">
        <v>45666</v>
      </c>
      <c r="C136" s="11" t="s">
        <v>200</v>
      </c>
      <c r="D136" s="12">
        <v>0</v>
      </c>
      <c r="E136" s="13">
        <v>8000</v>
      </c>
      <c r="F136" s="13">
        <v>-10925</v>
      </c>
      <c r="G136" s="14" t="s">
        <v>201</v>
      </c>
      <c r="H136" s="19">
        <f>Table4[[#This Row],[Credit (₹)]]-Table4[[#This Row],[Debit (₹)]]</f>
        <v>8000</v>
      </c>
      <c r="I136" t="s">
        <v>35</v>
      </c>
      <c r="J136" t="str">
        <f>_xlfn.XLOOKUP(Table4[[#This Row],[Subcategory]],Categories[Subcategory],Categories[Category],"Add Subcategory")</f>
        <v>Family Support &amp; Financial Aid</v>
      </c>
      <c r="K136" t="str">
        <f>_xlfn.XLOOKUP(Table4[[#This Row],[Subcategory]],Categories[Subcategory],Categories[Categorys Type],"Add Subcategory")</f>
        <v>Income</v>
      </c>
    </row>
    <row r="137" spans="1:11" x14ac:dyDescent="0.3">
      <c r="A137" t="s">
        <v>213</v>
      </c>
      <c r="B137" s="10">
        <v>45666</v>
      </c>
      <c r="C137" s="11" t="s">
        <v>202</v>
      </c>
      <c r="D137" s="13">
        <v>1299</v>
      </c>
      <c r="E137" s="12">
        <v>0</v>
      </c>
      <c r="F137" s="13">
        <v>-9626</v>
      </c>
      <c r="G137" s="14" t="s">
        <v>203</v>
      </c>
      <c r="H137" s="19">
        <f>Table4[[#This Row],[Credit (₹)]]-Table4[[#This Row],[Debit (₹)]]</f>
        <v>-1299</v>
      </c>
      <c r="I137" t="s">
        <v>20</v>
      </c>
      <c r="J137" t="str">
        <f>_xlfn.XLOOKUP(Table4[[#This Row],[Subcategory]],Categories[Subcategory],Categories[Category],"Add Subcategory")</f>
        <v>Personal Care &amp; Lifestyle</v>
      </c>
      <c r="K137" t="str">
        <f>_xlfn.XLOOKUP(Table4[[#This Row],[Subcategory]],Categories[Subcategory],Categories[Categorys Type],"Add Subcategory")</f>
        <v>Expense</v>
      </c>
    </row>
    <row r="138" spans="1:11" x14ac:dyDescent="0.3">
      <c r="A138" t="s">
        <v>259</v>
      </c>
      <c r="B138" s="10">
        <v>45666</v>
      </c>
      <c r="C138" s="11" t="s">
        <v>229</v>
      </c>
      <c r="D138" s="12">
        <v>0</v>
      </c>
      <c r="E138" s="13">
        <v>10000</v>
      </c>
      <c r="F138" s="13">
        <v>-49978</v>
      </c>
      <c r="G138" s="14"/>
      <c r="H138" s="19">
        <f>Table4[[#This Row],[Credit (₹)]]-Table4[[#This Row],[Debit (₹)]]</f>
        <v>10000</v>
      </c>
      <c r="I138" t="s">
        <v>34</v>
      </c>
      <c r="J138" t="str">
        <f>_xlfn.XLOOKUP(Table4[[#This Row],[Subcategory]],Categories[Subcategory],Categories[Category],"Add Subcategory")</f>
        <v>Family Support &amp; Financial Aid</v>
      </c>
      <c r="K138" t="str">
        <f>_xlfn.XLOOKUP(Table4[[#This Row],[Subcategory]],Categories[Subcategory],Categories[Categorys Type],"Add Subcategory")</f>
        <v>Income</v>
      </c>
    </row>
    <row r="139" spans="1:11" x14ac:dyDescent="0.3">
      <c r="A139" t="s">
        <v>259</v>
      </c>
      <c r="B139" s="10">
        <v>45666</v>
      </c>
      <c r="C139" s="11" t="s">
        <v>230</v>
      </c>
      <c r="D139" s="13">
        <v>4000</v>
      </c>
      <c r="E139" s="12">
        <v>0</v>
      </c>
      <c r="F139" s="13">
        <v>-53978</v>
      </c>
      <c r="G139" s="14"/>
      <c r="H139" s="19">
        <f>Table4[[#This Row],[Credit (₹)]]-Table4[[#This Row],[Debit (₹)]]</f>
        <v>-4000</v>
      </c>
      <c r="I139" t="s">
        <v>5</v>
      </c>
      <c r="J139" t="str">
        <f>_xlfn.XLOOKUP(Table4[[#This Row],[Subcategory]],Categories[Subcategory],Categories[Category],"Add Subcategory")</f>
        <v>Food &amp; Daily Living</v>
      </c>
      <c r="K139" t="str">
        <f>_xlfn.XLOOKUP(Table4[[#This Row],[Subcategory]],Categories[Subcategory],Categories[Categorys Type],"Add Subcategory")</f>
        <v>Expense</v>
      </c>
    </row>
    <row r="140" spans="1:11" x14ac:dyDescent="0.3">
      <c r="A140" t="s">
        <v>166</v>
      </c>
      <c r="B140" s="10">
        <v>45673</v>
      </c>
      <c r="C140" s="11" t="s">
        <v>141</v>
      </c>
      <c r="D140" s="12">
        <v>0</v>
      </c>
      <c r="E140" s="13">
        <v>80000</v>
      </c>
      <c r="F140" s="13">
        <v>-71626</v>
      </c>
      <c r="G140" s="14" t="s">
        <v>142</v>
      </c>
      <c r="H140" s="19">
        <f>Table4[[#This Row],[Credit (₹)]]-Table4[[#This Row],[Debit (₹)]]</f>
        <v>80000</v>
      </c>
      <c r="I140" t="s">
        <v>35</v>
      </c>
      <c r="J140" t="str">
        <f>_xlfn.XLOOKUP(Table4[[#This Row],[Subcategory]],Categories[Subcategory],Categories[Category],"Add Subcategory")</f>
        <v>Family Support &amp; Financial Aid</v>
      </c>
      <c r="K140" t="str">
        <f>_xlfn.XLOOKUP(Table4[[#This Row],[Subcategory]],Categories[Subcategory],Categories[Categorys Type],"Add Subcategory")</f>
        <v>Income</v>
      </c>
    </row>
    <row r="141" spans="1:11" x14ac:dyDescent="0.3">
      <c r="A141" t="s">
        <v>166</v>
      </c>
      <c r="B141" s="10">
        <v>45682</v>
      </c>
      <c r="C141" s="11" t="s">
        <v>143</v>
      </c>
      <c r="D141" s="13">
        <v>6000</v>
      </c>
      <c r="E141" s="12">
        <v>0</v>
      </c>
      <c r="F141" s="13">
        <v>-77626</v>
      </c>
      <c r="G141" s="14"/>
      <c r="H141" s="19">
        <f>Table4[[#This Row],[Credit (₹)]]-Table4[[#This Row],[Debit (₹)]]</f>
        <v>-6000</v>
      </c>
      <c r="I141" t="s">
        <v>3</v>
      </c>
      <c r="J141" t="str">
        <f>_xlfn.XLOOKUP(Table4[[#This Row],[Subcategory]],Categories[Subcategory],Categories[Category],"Add Subcategory")</f>
        <v>Accommodation &amp; Utilities</v>
      </c>
      <c r="K141" t="str">
        <f>_xlfn.XLOOKUP(Table4[[#This Row],[Subcategory]],Categories[Subcategory],Categories[Categorys Type],"Add Subcategory")</f>
        <v>Expense</v>
      </c>
    </row>
    <row r="142" spans="1:11" x14ac:dyDescent="0.3">
      <c r="A142" t="s">
        <v>213</v>
      </c>
      <c r="B142" s="10">
        <v>45682</v>
      </c>
      <c r="C142" s="11" t="s">
        <v>204</v>
      </c>
      <c r="D142" s="13">
        <v>399</v>
      </c>
      <c r="E142" s="12">
        <v>0</v>
      </c>
      <c r="F142" s="13">
        <v>-9227</v>
      </c>
      <c r="G142" s="14"/>
      <c r="H142" s="19">
        <f>Table4[[#This Row],[Credit (₹)]]-Table4[[#This Row],[Debit (₹)]]</f>
        <v>-399</v>
      </c>
      <c r="I142" t="s">
        <v>6</v>
      </c>
      <c r="J142" t="str">
        <f>_xlfn.XLOOKUP(Table4[[#This Row],[Subcategory]],Categories[Subcategory],Categories[Category],"Add Subcategory")</f>
        <v>Food &amp; Daily Living</v>
      </c>
      <c r="K142" t="str">
        <f>_xlfn.XLOOKUP(Table4[[#This Row],[Subcategory]],Categories[Subcategory],Categories[Categorys Type],"Add Subcategory")</f>
        <v>Expense</v>
      </c>
    </row>
    <row r="143" spans="1:11" x14ac:dyDescent="0.3">
      <c r="A143" t="s">
        <v>259</v>
      </c>
      <c r="B143" s="10">
        <v>45682</v>
      </c>
      <c r="C143" s="11" t="s">
        <v>231</v>
      </c>
      <c r="D143" s="13">
        <v>6000</v>
      </c>
      <c r="E143" s="12">
        <v>0</v>
      </c>
      <c r="F143" s="13">
        <v>-59978</v>
      </c>
      <c r="G143" s="14"/>
      <c r="H143" s="19">
        <f>Table4[[#This Row],[Credit (₹)]]-Table4[[#This Row],[Debit (₹)]]</f>
        <v>-6000</v>
      </c>
      <c r="I143" t="s">
        <v>3</v>
      </c>
      <c r="J143" t="str">
        <f>_xlfn.XLOOKUP(Table4[[#This Row],[Subcategory]],Categories[Subcategory],Categories[Category],"Add Subcategory")</f>
        <v>Accommodation &amp; Utilities</v>
      </c>
      <c r="K143" t="str">
        <f>_xlfn.XLOOKUP(Table4[[#This Row],[Subcategory]],Categories[Subcategory],Categories[Categorys Type],"Add Subcategory")</f>
        <v>Expense</v>
      </c>
    </row>
    <row r="144" spans="1:11" x14ac:dyDescent="0.3">
      <c r="A144" t="s">
        <v>166</v>
      </c>
      <c r="B144" s="10">
        <v>45699</v>
      </c>
      <c r="C144" s="11" t="s">
        <v>144</v>
      </c>
      <c r="D144" s="13">
        <v>4000</v>
      </c>
      <c r="E144" s="12">
        <v>0</v>
      </c>
      <c r="F144" s="13">
        <v>-81626</v>
      </c>
      <c r="G144" s="14"/>
      <c r="H144" s="19">
        <f>Table4[[#This Row],[Credit (₹)]]-Table4[[#This Row],[Debit (₹)]]</f>
        <v>-4000</v>
      </c>
      <c r="I144" t="s">
        <v>5</v>
      </c>
      <c r="J144" t="str">
        <f>_xlfn.XLOOKUP(Table4[[#This Row],[Subcategory]],Categories[Subcategory],Categories[Category],"Add Subcategory")</f>
        <v>Food &amp; Daily Living</v>
      </c>
      <c r="K144" t="str">
        <f>_xlfn.XLOOKUP(Table4[[#This Row],[Subcategory]],Categories[Subcategory],Categories[Categorys Type],"Add Subcategory")</f>
        <v>Expense</v>
      </c>
    </row>
    <row r="145" spans="1:11" x14ac:dyDescent="0.3">
      <c r="A145" t="s">
        <v>166</v>
      </c>
      <c r="B145" s="10">
        <v>45711</v>
      </c>
      <c r="C145" s="11" t="s">
        <v>145</v>
      </c>
      <c r="D145" s="13">
        <v>5000</v>
      </c>
      <c r="E145" s="12">
        <v>0</v>
      </c>
      <c r="F145" s="13">
        <v>-86626</v>
      </c>
      <c r="G145" s="14" t="s">
        <v>146</v>
      </c>
      <c r="H145" s="19">
        <f>Table4[[#This Row],[Credit (₹)]]-Table4[[#This Row],[Debit (₹)]]</f>
        <v>-5000</v>
      </c>
      <c r="I145" t="s">
        <v>18</v>
      </c>
      <c r="J145" t="str">
        <f>_xlfn.XLOOKUP(Table4[[#This Row],[Subcategory]],Categories[Subcategory],Categories[Category],"Add Subcategory")</f>
        <v>Academic / Education Expenses</v>
      </c>
      <c r="K145" t="str">
        <f>_xlfn.XLOOKUP(Table4[[#This Row],[Subcategory]],Categories[Subcategory],Categories[Categorys Type],"Add Subcategory")</f>
        <v>Expense</v>
      </c>
    </row>
    <row r="146" spans="1:11" x14ac:dyDescent="0.3">
      <c r="A146" t="s">
        <v>213</v>
      </c>
      <c r="B146" s="10">
        <v>45711</v>
      </c>
      <c r="C146" s="11" t="s">
        <v>205</v>
      </c>
      <c r="D146" s="13">
        <v>80</v>
      </c>
      <c r="E146" s="12">
        <v>0</v>
      </c>
      <c r="F146" s="13">
        <v>-9147</v>
      </c>
      <c r="G146" s="14"/>
      <c r="H146" s="19">
        <f>Table4[[#This Row],[Credit (₹)]]-Table4[[#This Row],[Debit (₹)]]</f>
        <v>-80</v>
      </c>
      <c r="I146" t="s">
        <v>10</v>
      </c>
      <c r="J146" t="str">
        <f>_xlfn.XLOOKUP(Table4[[#This Row],[Subcategory]],Categories[Subcategory],Categories[Category],"Add Subcategory")</f>
        <v>Transport &amp; Travel</v>
      </c>
      <c r="K146" t="str">
        <f>_xlfn.XLOOKUP(Table4[[#This Row],[Subcategory]],Categories[Subcategory],Categories[Categorys Type],"Add Subcategory")</f>
        <v>Expense</v>
      </c>
    </row>
    <row r="147" spans="1:11" x14ac:dyDescent="0.3">
      <c r="A147" t="s">
        <v>259</v>
      </c>
      <c r="B147" s="10">
        <v>45711</v>
      </c>
      <c r="C147" s="11" t="s">
        <v>251</v>
      </c>
      <c r="D147" s="13">
        <v>5000</v>
      </c>
      <c r="E147" s="12">
        <v>0</v>
      </c>
      <c r="F147" s="13">
        <v>-64978</v>
      </c>
      <c r="G147" s="14"/>
      <c r="H147" s="19">
        <f>Table4[[#This Row],[Credit (₹)]]-Table4[[#This Row],[Debit (₹)]]</f>
        <v>-5000</v>
      </c>
      <c r="I147" t="s">
        <v>18</v>
      </c>
      <c r="J147" t="str">
        <f>_xlfn.XLOOKUP(Table4[[#This Row],[Subcategory]],Categories[Subcategory],Categories[Category],"Add Subcategory")</f>
        <v>Academic / Education Expenses</v>
      </c>
      <c r="K147" t="str">
        <f>_xlfn.XLOOKUP(Table4[[#This Row],[Subcategory]],Categories[Subcategory],Categories[Categorys Type],"Add Subcategory")</f>
        <v>Expense</v>
      </c>
    </row>
    <row r="148" spans="1:11" x14ac:dyDescent="0.3">
      <c r="A148" t="s">
        <v>166</v>
      </c>
      <c r="B148" s="10">
        <v>45712</v>
      </c>
      <c r="C148" s="11" t="s">
        <v>147</v>
      </c>
      <c r="D148" s="12">
        <v>0</v>
      </c>
      <c r="E148" s="13">
        <v>10000</v>
      </c>
      <c r="F148" s="13">
        <v>-76626</v>
      </c>
      <c r="G148" s="14"/>
      <c r="H148" s="19">
        <f>Table4[[#This Row],[Credit (₹)]]-Table4[[#This Row],[Debit (₹)]]</f>
        <v>10000</v>
      </c>
      <c r="I148" t="s">
        <v>34</v>
      </c>
      <c r="J148" t="str">
        <f>_xlfn.XLOOKUP(Table4[[#This Row],[Subcategory]],Categories[Subcategory],Categories[Category],"Add Subcategory")</f>
        <v>Family Support &amp; Financial Aid</v>
      </c>
      <c r="K148" t="str">
        <f>_xlfn.XLOOKUP(Table4[[#This Row],[Subcategory]],Categories[Subcategory],Categories[Categorys Type],"Add Subcategory")</f>
        <v>Income</v>
      </c>
    </row>
    <row r="149" spans="1:11" x14ac:dyDescent="0.3">
      <c r="A149" t="s">
        <v>213</v>
      </c>
      <c r="B149" s="10">
        <v>45712</v>
      </c>
      <c r="C149" s="11" t="s">
        <v>206</v>
      </c>
      <c r="D149" s="13">
        <v>450</v>
      </c>
      <c r="E149" s="12">
        <v>0</v>
      </c>
      <c r="F149" s="13">
        <v>-8697</v>
      </c>
      <c r="G149" s="14" t="s">
        <v>207</v>
      </c>
      <c r="H149" s="19">
        <f>Table4[[#This Row],[Credit (₹)]]-Table4[[#This Row],[Debit (₹)]]</f>
        <v>-450</v>
      </c>
      <c r="I149" t="s">
        <v>1</v>
      </c>
      <c r="J149" t="str">
        <f>_xlfn.XLOOKUP(Table4[[#This Row],[Subcategory]],Categories[Subcategory],Categories[Category],"Add Subcategory")</f>
        <v>Academic / Education Expenses</v>
      </c>
      <c r="K149" t="str">
        <f>_xlfn.XLOOKUP(Table4[[#This Row],[Subcategory]],Categories[Subcategory],Categories[Categorys Type],"Add Subcategory")</f>
        <v>Expense</v>
      </c>
    </row>
    <row r="150" spans="1:11" x14ac:dyDescent="0.3">
      <c r="A150" t="s">
        <v>259</v>
      </c>
      <c r="B150" s="10">
        <v>45712</v>
      </c>
      <c r="C150" s="11" t="s">
        <v>252</v>
      </c>
      <c r="D150" s="12">
        <v>0</v>
      </c>
      <c r="E150" s="13">
        <v>5000</v>
      </c>
      <c r="F150" s="13">
        <v>-59978</v>
      </c>
      <c r="G150" s="14"/>
      <c r="H150" s="19">
        <f>Table4[[#This Row],[Credit (₹)]]-Table4[[#This Row],[Debit (₹)]]</f>
        <v>5000</v>
      </c>
      <c r="I150" t="s">
        <v>36</v>
      </c>
      <c r="J150" t="str">
        <f>_xlfn.XLOOKUP(Table4[[#This Row],[Subcategory]],Categories[Subcategory],Categories[Category],"Add Subcategory")</f>
        <v>Family Support &amp; Financial Aid</v>
      </c>
      <c r="K150" t="str">
        <f>_xlfn.XLOOKUP(Table4[[#This Row],[Subcategory]],Categories[Subcategory],Categories[Categorys Type],"Add Subcategory")</f>
        <v>Income</v>
      </c>
    </row>
    <row r="151" spans="1:11" x14ac:dyDescent="0.3">
      <c r="A151" t="s">
        <v>166</v>
      </c>
      <c r="B151" s="10">
        <v>45724</v>
      </c>
      <c r="C151" s="11" t="s">
        <v>148</v>
      </c>
      <c r="D151" s="13">
        <v>6000</v>
      </c>
      <c r="E151" s="12">
        <v>0</v>
      </c>
      <c r="F151" s="13">
        <v>-82626</v>
      </c>
      <c r="G151" s="14"/>
      <c r="H151" s="19">
        <f>Table4[[#This Row],[Credit (₹)]]-Table4[[#This Row],[Debit (₹)]]</f>
        <v>-6000</v>
      </c>
      <c r="I151" t="s">
        <v>3</v>
      </c>
      <c r="J151" t="str">
        <f>_xlfn.XLOOKUP(Table4[[#This Row],[Subcategory]],Categories[Subcategory],Categories[Category],"Add Subcategory")</f>
        <v>Accommodation &amp; Utilities</v>
      </c>
      <c r="K151" t="str">
        <f>_xlfn.XLOOKUP(Table4[[#This Row],[Subcategory]],Categories[Subcategory],Categories[Categorys Type],"Add Subcategory")</f>
        <v>Expense</v>
      </c>
    </row>
    <row r="152" spans="1:11" x14ac:dyDescent="0.3">
      <c r="A152" t="s">
        <v>213</v>
      </c>
      <c r="B152" s="10">
        <v>45724</v>
      </c>
      <c r="C152" s="11" t="s">
        <v>181</v>
      </c>
      <c r="D152" s="12">
        <v>0</v>
      </c>
      <c r="E152" s="13">
        <v>5000</v>
      </c>
      <c r="F152" s="13">
        <v>-13697</v>
      </c>
      <c r="G152" s="14"/>
      <c r="H152" s="19">
        <f>Table4[[#This Row],[Credit (₹)]]-Table4[[#This Row],[Debit (₹)]]</f>
        <v>5000</v>
      </c>
      <c r="I152" t="s">
        <v>35</v>
      </c>
      <c r="J152" t="str">
        <f>_xlfn.XLOOKUP(Table4[[#This Row],[Subcategory]],Categories[Subcategory],Categories[Category],"Add Subcategory")</f>
        <v>Family Support &amp; Financial Aid</v>
      </c>
      <c r="K152" t="str">
        <f>_xlfn.XLOOKUP(Table4[[#This Row],[Subcategory]],Categories[Subcategory],Categories[Categorys Type],"Add Subcategory")</f>
        <v>Income</v>
      </c>
    </row>
    <row r="153" spans="1:11" x14ac:dyDescent="0.3">
      <c r="A153" t="s">
        <v>259</v>
      </c>
      <c r="B153" s="10">
        <v>45724</v>
      </c>
      <c r="C153" s="11" t="s">
        <v>253</v>
      </c>
      <c r="D153" s="13">
        <v>500</v>
      </c>
      <c r="E153" s="12">
        <v>0</v>
      </c>
      <c r="F153" s="13">
        <v>-60478</v>
      </c>
      <c r="G153" s="14"/>
      <c r="H153" s="19">
        <f>Table4[[#This Row],[Credit (₹)]]-Table4[[#This Row],[Debit (₹)]]</f>
        <v>-500</v>
      </c>
      <c r="I153" t="s">
        <v>13</v>
      </c>
      <c r="J153" t="str">
        <f>_xlfn.XLOOKUP(Table4[[#This Row],[Subcategory]],Categories[Subcategory],Categories[Category],"Add Subcategory")</f>
        <v>Personal Care &amp; Lifestyle</v>
      </c>
      <c r="K153" t="str">
        <f>_xlfn.XLOOKUP(Table4[[#This Row],[Subcategory]],Categories[Subcategory],Categories[Categorys Type],"Add Subcategory")</f>
        <v>Expense</v>
      </c>
    </row>
    <row r="154" spans="1:11" x14ac:dyDescent="0.3">
      <c r="A154" t="s">
        <v>166</v>
      </c>
      <c r="B154" s="10">
        <v>45726</v>
      </c>
      <c r="C154" s="11" t="s">
        <v>144</v>
      </c>
      <c r="D154" s="13">
        <v>4000</v>
      </c>
      <c r="E154" s="12">
        <v>0</v>
      </c>
      <c r="F154" s="13">
        <v>-86626</v>
      </c>
      <c r="G154" s="14"/>
      <c r="H154" s="19">
        <f>Table4[[#This Row],[Credit (₹)]]-Table4[[#This Row],[Debit (₹)]]</f>
        <v>-4000</v>
      </c>
      <c r="I154" t="s">
        <v>5</v>
      </c>
      <c r="J154" t="str">
        <f>_xlfn.XLOOKUP(Table4[[#This Row],[Subcategory]],Categories[Subcategory],Categories[Category],"Add Subcategory")</f>
        <v>Food &amp; Daily Living</v>
      </c>
      <c r="K154" t="str">
        <f>_xlfn.XLOOKUP(Table4[[#This Row],[Subcategory]],Categories[Subcategory],Categories[Categorys Type],"Add Subcategory")</f>
        <v>Expense</v>
      </c>
    </row>
    <row r="155" spans="1:11" x14ac:dyDescent="0.3">
      <c r="A155" t="s">
        <v>259</v>
      </c>
      <c r="B155" s="10">
        <v>45726</v>
      </c>
      <c r="C155" s="11" t="s">
        <v>229</v>
      </c>
      <c r="D155" s="12">
        <v>0</v>
      </c>
      <c r="E155" s="13">
        <v>10000</v>
      </c>
      <c r="F155" s="13">
        <v>-50478</v>
      </c>
      <c r="G155" s="14"/>
      <c r="H155" s="19">
        <f>Table4[[#This Row],[Credit (₹)]]-Table4[[#This Row],[Debit (₹)]]</f>
        <v>10000</v>
      </c>
      <c r="I155" t="s">
        <v>34</v>
      </c>
      <c r="J155" t="str">
        <f>_xlfn.XLOOKUP(Table4[[#This Row],[Subcategory]],Categories[Subcategory],Categories[Category],"Add Subcategory")</f>
        <v>Family Support &amp; Financial Aid</v>
      </c>
      <c r="K155" t="str">
        <f>_xlfn.XLOOKUP(Table4[[#This Row],[Subcategory]],Categories[Subcategory],Categories[Categorys Type],"Add Subcategory")</f>
        <v>Income</v>
      </c>
    </row>
    <row r="156" spans="1:11" x14ac:dyDescent="0.3">
      <c r="A156" t="s">
        <v>166</v>
      </c>
      <c r="B156" s="10">
        <v>45741</v>
      </c>
      <c r="C156" s="11" t="s">
        <v>149</v>
      </c>
      <c r="D156" s="13">
        <v>399</v>
      </c>
      <c r="E156" s="12">
        <v>0</v>
      </c>
      <c r="F156" s="13">
        <v>-87025</v>
      </c>
      <c r="G156" s="14" t="s">
        <v>150</v>
      </c>
      <c r="H156" s="19">
        <f>Table4[[#This Row],[Credit (₹)]]-Table4[[#This Row],[Debit (₹)]]</f>
        <v>-399</v>
      </c>
      <c r="I156" t="s">
        <v>20</v>
      </c>
      <c r="J156" t="str">
        <f>_xlfn.XLOOKUP(Table4[[#This Row],[Subcategory]],Categories[Subcategory],Categories[Category],"Add Subcategory")</f>
        <v>Personal Care &amp; Lifestyle</v>
      </c>
      <c r="K156" t="str">
        <f>_xlfn.XLOOKUP(Table4[[#This Row],[Subcategory]],Categories[Subcategory],Categories[Categorys Type],"Add Subcategory")</f>
        <v>Expense</v>
      </c>
    </row>
    <row r="157" spans="1:11" x14ac:dyDescent="0.3">
      <c r="A157" t="s">
        <v>166</v>
      </c>
      <c r="B157" s="10">
        <v>45751</v>
      </c>
      <c r="C157" s="11" t="s">
        <v>151</v>
      </c>
      <c r="D157" s="12">
        <v>0</v>
      </c>
      <c r="E157" s="13">
        <v>3000</v>
      </c>
      <c r="F157" s="13">
        <v>-84025</v>
      </c>
      <c r="G157" s="14"/>
      <c r="H157" s="19">
        <f>Table4[[#This Row],[Credit (₹)]]-Table4[[#This Row],[Debit (₹)]]</f>
        <v>3000</v>
      </c>
      <c r="I157" t="s">
        <v>37</v>
      </c>
      <c r="J157" t="str">
        <f>_xlfn.XLOOKUP(Table4[[#This Row],[Subcategory]],Categories[Subcategory],Categories[Category],"Add Subcategory")</f>
        <v>Earnings &amp; Work Income</v>
      </c>
      <c r="K157" t="str">
        <f>_xlfn.XLOOKUP(Table4[[#This Row],[Subcategory]],Categories[Subcategory],Categories[Categorys Type],"Add Subcategory")</f>
        <v>Income</v>
      </c>
    </row>
    <row r="158" spans="1:11" x14ac:dyDescent="0.3">
      <c r="A158" t="s">
        <v>166</v>
      </c>
      <c r="B158" s="10">
        <v>45758</v>
      </c>
      <c r="C158" s="11" t="s">
        <v>55</v>
      </c>
      <c r="D158" s="13">
        <v>2000</v>
      </c>
      <c r="E158" s="12">
        <v>0</v>
      </c>
      <c r="F158" s="13">
        <v>-86025</v>
      </c>
      <c r="G158" s="14"/>
      <c r="H158" s="19">
        <f>Table4[[#This Row],[Credit (₹)]]-Table4[[#This Row],[Debit (₹)]]</f>
        <v>-2000</v>
      </c>
      <c r="I158" t="s">
        <v>23</v>
      </c>
      <c r="J158" t="str">
        <f>_xlfn.XLOOKUP(Table4[[#This Row],[Subcategory]],Categories[Subcategory],Categories[Category],"Add Subcategory")</f>
        <v>Other Expences</v>
      </c>
      <c r="K158" t="str">
        <f>_xlfn.XLOOKUP(Table4[[#This Row],[Subcategory]],Categories[Subcategory],Categories[Categorys Type],"Add Subcategory")</f>
        <v>Expense</v>
      </c>
    </row>
    <row r="159" spans="1:11" x14ac:dyDescent="0.3">
      <c r="A159" t="s">
        <v>166</v>
      </c>
      <c r="B159" s="10">
        <v>45762</v>
      </c>
      <c r="C159" s="11" t="s">
        <v>152</v>
      </c>
      <c r="D159" s="13">
        <v>600</v>
      </c>
      <c r="E159" s="12">
        <v>0</v>
      </c>
      <c r="F159" s="13">
        <v>-86625</v>
      </c>
      <c r="G159" s="14"/>
      <c r="H159" s="19">
        <f>Table4[[#This Row],[Credit (₹)]]-Table4[[#This Row],[Debit (₹)]]</f>
        <v>-600</v>
      </c>
      <c r="I159" t="s">
        <v>16</v>
      </c>
      <c r="J159" t="str">
        <f>_xlfn.XLOOKUP(Table4[[#This Row],[Subcategory]],Categories[Subcategory],Categories[Category],"Add Subcategory")</f>
        <v>Health &amp; Medical</v>
      </c>
      <c r="K159" t="str">
        <f>_xlfn.XLOOKUP(Table4[[#This Row],[Subcategory]],Categories[Subcategory],Categories[Categorys Type],"Add Subcategory")</f>
        <v>Expense</v>
      </c>
    </row>
    <row r="160" spans="1:11" x14ac:dyDescent="0.3">
      <c r="A160" t="s">
        <v>213</v>
      </c>
      <c r="B160" s="10">
        <v>45762</v>
      </c>
      <c r="C160" s="11" t="s">
        <v>208</v>
      </c>
      <c r="D160" s="13">
        <v>799</v>
      </c>
      <c r="E160" s="12">
        <v>0</v>
      </c>
      <c r="F160" s="13">
        <v>-12898</v>
      </c>
      <c r="G160" s="14"/>
      <c r="H160" s="19">
        <f>Table4[[#This Row],[Credit (₹)]]-Table4[[#This Row],[Debit (₹)]]</f>
        <v>-799</v>
      </c>
      <c r="I160" t="s">
        <v>7</v>
      </c>
      <c r="J160" t="str">
        <f>_xlfn.XLOOKUP(Table4[[#This Row],[Subcategory]],Categories[Subcategory],Categories[Category],"Add Subcategory")</f>
        <v>Academic / Education Expenses</v>
      </c>
      <c r="K160" t="str">
        <f>_xlfn.XLOOKUP(Table4[[#This Row],[Subcategory]],Categories[Subcategory],Categories[Categorys Type],"Add Subcategory")</f>
        <v>Expense</v>
      </c>
    </row>
    <row r="161" spans="1:11" x14ac:dyDescent="0.3">
      <c r="A161" t="s">
        <v>259</v>
      </c>
      <c r="B161" s="10">
        <v>45762</v>
      </c>
      <c r="C161" s="11" t="s">
        <v>230</v>
      </c>
      <c r="D161" s="13">
        <v>4000</v>
      </c>
      <c r="E161" s="12">
        <v>0</v>
      </c>
      <c r="F161" s="13">
        <v>-54478</v>
      </c>
      <c r="G161" s="14"/>
      <c r="H161" s="19">
        <f>Table4[[#This Row],[Credit (₹)]]-Table4[[#This Row],[Debit (₹)]]</f>
        <v>-4000</v>
      </c>
      <c r="I161" t="s">
        <v>5</v>
      </c>
      <c r="J161" t="str">
        <f>_xlfn.XLOOKUP(Table4[[#This Row],[Subcategory]],Categories[Subcategory],Categories[Category],"Add Subcategory")</f>
        <v>Food &amp; Daily Living</v>
      </c>
      <c r="K161" t="str">
        <f>_xlfn.XLOOKUP(Table4[[#This Row],[Subcategory]],Categories[Subcategory],Categories[Categorys Type],"Add Subcategory")</f>
        <v>Expense</v>
      </c>
    </row>
    <row r="162" spans="1:11" x14ac:dyDescent="0.3">
      <c r="A162" t="s">
        <v>166</v>
      </c>
      <c r="B162" s="10">
        <v>45773</v>
      </c>
      <c r="C162" s="11" t="s">
        <v>147</v>
      </c>
      <c r="D162" s="12">
        <v>0</v>
      </c>
      <c r="E162" s="13">
        <v>10000</v>
      </c>
      <c r="F162" s="13">
        <v>-76625</v>
      </c>
      <c r="G162" s="14"/>
      <c r="H162" s="19">
        <f>Table4[[#This Row],[Credit (₹)]]-Table4[[#This Row],[Debit (₹)]]</f>
        <v>10000</v>
      </c>
      <c r="I162" t="s">
        <v>34</v>
      </c>
      <c r="J162" t="str">
        <f>_xlfn.XLOOKUP(Table4[[#This Row],[Subcategory]],Categories[Subcategory],Categories[Category],"Add Subcategory")</f>
        <v>Family Support &amp; Financial Aid</v>
      </c>
      <c r="K162" t="str">
        <f>_xlfn.XLOOKUP(Table4[[#This Row],[Subcategory]],Categories[Subcategory],Categories[Categorys Type],"Add Subcategory")</f>
        <v>Income</v>
      </c>
    </row>
    <row r="163" spans="1:11" x14ac:dyDescent="0.3">
      <c r="A163" t="s">
        <v>213</v>
      </c>
      <c r="B163" s="10">
        <v>45773</v>
      </c>
      <c r="C163" s="11" t="s">
        <v>209</v>
      </c>
      <c r="D163" s="13">
        <v>599</v>
      </c>
      <c r="E163" s="12">
        <v>0</v>
      </c>
      <c r="F163" s="13">
        <v>-12299</v>
      </c>
      <c r="G163" s="14" t="s">
        <v>210</v>
      </c>
      <c r="H163" s="19">
        <f>Table4[[#This Row],[Credit (₹)]]-Table4[[#This Row],[Debit (₹)]]</f>
        <v>-599</v>
      </c>
      <c r="I163" t="s">
        <v>6</v>
      </c>
      <c r="J163" t="str">
        <f>_xlfn.XLOOKUP(Table4[[#This Row],[Subcategory]],Categories[Subcategory],Categories[Category],"Add Subcategory")</f>
        <v>Food &amp; Daily Living</v>
      </c>
      <c r="K163" t="str">
        <f>_xlfn.XLOOKUP(Table4[[#This Row],[Subcategory]],Categories[Subcategory],Categories[Categorys Type],"Add Subcategory")</f>
        <v>Expense</v>
      </c>
    </row>
    <row r="164" spans="1:11" x14ac:dyDescent="0.3">
      <c r="A164" t="s">
        <v>259</v>
      </c>
      <c r="B164" s="10">
        <v>45773</v>
      </c>
      <c r="C164" s="11" t="s">
        <v>231</v>
      </c>
      <c r="D164" s="13">
        <v>6000</v>
      </c>
      <c r="E164" s="12">
        <v>0</v>
      </c>
      <c r="F164" s="13">
        <v>-60478</v>
      </c>
      <c r="G164" s="14"/>
      <c r="H164" s="19">
        <f>Table4[[#This Row],[Credit (₹)]]-Table4[[#This Row],[Debit (₹)]]</f>
        <v>-6000</v>
      </c>
      <c r="I164" t="s">
        <v>3</v>
      </c>
      <c r="J164" t="str">
        <f>_xlfn.XLOOKUP(Table4[[#This Row],[Subcategory]],Categories[Subcategory],Categories[Category],"Add Subcategory")</f>
        <v>Accommodation &amp; Utilities</v>
      </c>
      <c r="K164" t="str">
        <f>_xlfn.XLOOKUP(Table4[[#This Row],[Subcategory]],Categories[Subcategory],Categories[Categorys Type],"Add Subcategory")</f>
        <v>Expense</v>
      </c>
    </row>
    <row r="165" spans="1:11" x14ac:dyDescent="0.3">
      <c r="A165" t="s">
        <v>166</v>
      </c>
      <c r="B165" s="10">
        <v>45785</v>
      </c>
      <c r="C165" s="11" t="s">
        <v>148</v>
      </c>
      <c r="D165" s="13">
        <v>6000</v>
      </c>
      <c r="E165" s="12">
        <v>0</v>
      </c>
      <c r="F165" s="13">
        <v>-82625</v>
      </c>
      <c r="G165" s="14"/>
      <c r="H165" s="19">
        <f>Table4[[#This Row],[Credit (₹)]]-Table4[[#This Row],[Debit (₹)]]</f>
        <v>-6000</v>
      </c>
      <c r="I165" t="s">
        <v>3</v>
      </c>
      <c r="J165" t="str">
        <f>_xlfn.XLOOKUP(Table4[[#This Row],[Subcategory]],Categories[Subcategory],Categories[Category],"Add Subcategory")</f>
        <v>Accommodation &amp; Utilities</v>
      </c>
      <c r="K165" t="str">
        <f>_xlfn.XLOOKUP(Table4[[#This Row],[Subcategory]],Categories[Subcategory],Categories[Categorys Type],"Add Subcategory")</f>
        <v>Expense</v>
      </c>
    </row>
    <row r="166" spans="1:11" x14ac:dyDescent="0.3">
      <c r="A166" t="s">
        <v>166</v>
      </c>
      <c r="B166" s="10">
        <v>45800</v>
      </c>
      <c r="C166" s="11" t="s">
        <v>153</v>
      </c>
      <c r="D166" s="13">
        <v>200</v>
      </c>
      <c r="E166" s="12">
        <v>0</v>
      </c>
      <c r="F166" s="13">
        <v>-82825</v>
      </c>
      <c r="G166" s="14"/>
      <c r="H166" s="19">
        <f>Table4[[#This Row],[Credit (₹)]]-Table4[[#This Row],[Debit (₹)]]</f>
        <v>-200</v>
      </c>
      <c r="I166" t="s">
        <v>18</v>
      </c>
      <c r="J166" t="str">
        <f>_xlfn.XLOOKUP(Table4[[#This Row],[Subcategory]],Categories[Subcategory],Categories[Category],"Add Subcategory")</f>
        <v>Academic / Education Expenses</v>
      </c>
      <c r="K166" t="str">
        <f>_xlfn.XLOOKUP(Table4[[#This Row],[Subcategory]],Categories[Subcategory],Categories[Categorys Type],"Add Subcategory")</f>
        <v>Expense</v>
      </c>
    </row>
    <row r="167" spans="1:11" x14ac:dyDescent="0.3">
      <c r="A167" t="s">
        <v>213</v>
      </c>
      <c r="B167" s="10">
        <v>45800</v>
      </c>
      <c r="C167" s="11" t="s">
        <v>181</v>
      </c>
      <c r="D167" s="12">
        <v>0</v>
      </c>
      <c r="E167" s="13">
        <v>4000</v>
      </c>
      <c r="F167" s="13">
        <v>-16299</v>
      </c>
      <c r="G167" s="14"/>
      <c r="H167" s="19">
        <f>Table4[[#This Row],[Credit (₹)]]-Table4[[#This Row],[Debit (₹)]]</f>
        <v>4000</v>
      </c>
      <c r="I167" t="s">
        <v>35</v>
      </c>
      <c r="J167" t="str">
        <f>_xlfn.XLOOKUP(Table4[[#This Row],[Subcategory]],Categories[Subcategory],Categories[Category],"Add Subcategory")</f>
        <v>Family Support &amp; Financial Aid</v>
      </c>
      <c r="K167" t="str">
        <f>_xlfn.XLOOKUP(Table4[[#This Row],[Subcategory]],Categories[Subcategory],Categories[Categorys Type],"Add Subcategory")</f>
        <v>Income</v>
      </c>
    </row>
    <row r="168" spans="1:11" x14ac:dyDescent="0.3">
      <c r="A168" t="s">
        <v>259</v>
      </c>
      <c r="B168" s="10">
        <v>45800</v>
      </c>
      <c r="C168" s="11" t="s">
        <v>254</v>
      </c>
      <c r="D168" s="12">
        <v>0</v>
      </c>
      <c r="E168" s="13">
        <v>3000</v>
      </c>
      <c r="F168" s="13">
        <v>-57478</v>
      </c>
      <c r="G168" s="14"/>
      <c r="H168" s="19">
        <f>Table4[[#This Row],[Credit (₹)]]-Table4[[#This Row],[Debit (₹)]]</f>
        <v>3000</v>
      </c>
      <c r="I168" t="s">
        <v>37</v>
      </c>
      <c r="J168" t="str">
        <f>_xlfn.XLOOKUP(Table4[[#This Row],[Subcategory]],Categories[Subcategory],Categories[Category],"Add Subcategory")</f>
        <v>Earnings &amp; Work Income</v>
      </c>
      <c r="K168" t="str">
        <f>_xlfn.XLOOKUP(Table4[[#This Row],[Subcategory]],Categories[Subcategory],Categories[Categorys Type],"Add Subcategory")</f>
        <v>Income</v>
      </c>
    </row>
    <row r="169" spans="1:11" x14ac:dyDescent="0.3">
      <c r="A169" t="s">
        <v>166</v>
      </c>
      <c r="B169" s="10">
        <v>45822</v>
      </c>
      <c r="C169" s="11" t="s">
        <v>144</v>
      </c>
      <c r="D169" s="13">
        <v>4000</v>
      </c>
      <c r="E169" s="12">
        <v>0</v>
      </c>
      <c r="F169" s="13">
        <v>-86825</v>
      </c>
      <c r="G169" s="14"/>
      <c r="H169" s="19">
        <f>Table4[[#This Row],[Credit (₹)]]-Table4[[#This Row],[Debit (₹)]]</f>
        <v>-4000</v>
      </c>
      <c r="I169" t="s">
        <v>5</v>
      </c>
      <c r="J169" t="str">
        <f>_xlfn.XLOOKUP(Table4[[#This Row],[Subcategory]],Categories[Subcategory],Categories[Category],"Add Subcategory")</f>
        <v>Food &amp; Daily Living</v>
      </c>
      <c r="K169" t="str">
        <f>_xlfn.XLOOKUP(Table4[[#This Row],[Subcategory]],Categories[Subcategory],Categories[Categorys Type],"Add Subcategory")</f>
        <v>Expense</v>
      </c>
    </row>
    <row r="170" spans="1:11" x14ac:dyDescent="0.3">
      <c r="A170" t="s">
        <v>213</v>
      </c>
      <c r="B170" s="10">
        <v>45822</v>
      </c>
      <c r="C170" s="11" t="s">
        <v>211</v>
      </c>
      <c r="D170" s="13">
        <v>600</v>
      </c>
      <c r="E170" s="12">
        <v>0</v>
      </c>
      <c r="F170" s="13">
        <v>-15699</v>
      </c>
      <c r="G170" s="14"/>
      <c r="H170" s="19">
        <f>Table4[[#This Row],[Credit (₹)]]-Table4[[#This Row],[Debit (₹)]]</f>
        <v>-600</v>
      </c>
      <c r="I170" t="s">
        <v>10</v>
      </c>
      <c r="J170" t="str">
        <f>_xlfn.XLOOKUP(Table4[[#This Row],[Subcategory]],Categories[Subcategory],Categories[Category],"Add Subcategory")</f>
        <v>Transport &amp; Travel</v>
      </c>
      <c r="K170" t="str">
        <f>_xlfn.XLOOKUP(Table4[[#This Row],[Subcategory]],Categories[Subcategory],Categories[Categorys Type],"Add Subcategory")</f>
        <v>Expense</v>
      </c>
    </row>
    <row r="171" spans="1:11" x14ac:dyDescent="0.3">
      <c r="A171" t="s">
        <v>259</v>
      </c>
      <c r="B171" s="10">
        <v>45822</v>
      </c>
      <c r="C171" s="11" t="s">
        <v>255</v>
      </c>
      <c r="D171" s="13">
        <v>100</v>
      </c>
      <c r="E171" s="12">
        <v>0</v>
      </c>
      <c r="F171" s="13">
        <v>-57578</v>
      </c>
      <c r="G171" s="14" t="s">
        <v>256</v>
      </c>
      <c r="H171" s="19">
        <f>Table4[[#This Row],[Credit (₹)]]-Table4[[#This Row],[Debit (₹)]]</f>
        <v>-100</v>
      </c>
      <c r="I171" t="s">
        <v>14</v>
      </c>
      <c r="J171" t="str">
        <f>_xlfn.XLOOKUP(Table4[[#This Row],[Subcategory]],Categories[Subcategory],Categories[Category],"Add Subcategory")</f>
        <v>Personal Care &amp; Lifestyle</v>
      </c>
      <c r="K171" t="str">
        <f>_xlfn.XLOOKUP(Table4[[#This Row],[Subcategory]],Categories[Subcategory],Categories[Categorys Type],"Add Subcategory")</f>
        <v>Expense</v>
      </c>
    </row>
    <row r="172" spans="1:11" x14ac:dyDescent="0.3">
      <c r="A172" t="s">
        <v>166</v>
      </c>
      <c r="B172" s="10">
        <v>45826</v>
      </c>
      <c r="C172" s="11" t="s">
        <v>154</v>
      </c>
      <c r="D172" s="12">
        <v>0</v>
      </c>
      <c r="E172" s="13">
        <v>420</v>
      </c>
      <c r="F172" s="13">
        <v>-86405</v>
      </c>
      <c r="G172" s="14" t="s">
        <v>155</v>
      </c>
      <c r="H172" s="19">
        <f>Table4[[#This Row],[Credit (₹)]]-Table4[[#This Row],[Debit (₹)]]</f>
        <v>420</v>
      </c>
      <c r="I172" t="s">
        <v>35</v>
      </c>
      <c r="J172" t="str">
        <f>_xlfn.XLOOKUP(Table4[[#This Row],[Subcategory]],Categories[Subcategory],Categories[Category],"Add Subcategory")</f>
        <v>Family Support &amp; Financial Aid</v>
      </c>
      <c r="K172" t="str">
        <f>_xlfn.XLOOKUP(Table4[[#This Row],[Subcategory]],Categories[Subcategory],Categories[Categorys Type],"Add Subcategory")</f>
        <v>Income</v>
      </c>
    </row>
    <row r="173" spans="1:11" x14ac:dyDescent="0.3">
      <c r="A173" t="s">
        <v>213</v>
      </c>
      <c r="B173" s="10">
        <v>45826</v>
      </c>
      <c r="C173" s="11" t="s">
        <v>200</v>
      </c>
      <c r="D173" s="12">
        <v>0</v>
      </c>
      <c r="E173" s="13">
        <v>7000</v>
      </c>
      <c r="F173" s="13">
        <v>-22699</v>
      </c>
      <c r="G173" s="14" t="s">
        <v>212</v>
      </c>
      <c r="H173" s="19">
        <f>Table4[[#This Row],[Credit (₹)]]-Table4[[#This Row],[Debit (₹)]]</f>
        <v>7000</v>
      </c>
      <c r="I173" t="s">
        <v>35</v>
      </c>
      <c r="J173" t="str">
        <f>_xlfn.XLOOKUP(Table4[[#This Row],[Subcategory]],Categories[Subcategory],Categories[Category],"Add Subcategory")</f>
        <v>Family Support &amp; Financial Aid</v>
      </c>
      <c r="K173" t="str">
        <f>_xlfn.XLOOKUP(Table4[[#This Row],[Subcategory]],Categories[Subcategory],Categories[Categorys Type],"Add Subcategory")</f>
        <v>Income</v>
      </c>
    </row>
    <row r="174" spans="1:11" x14ac:dyDescent="0.3">
      <c r="A174" t="s">
        <v>259</v>
      </c>
      <c r="B174" s="10">
        <v>45826</v>
      </c>
      <c r="C174" s="11" t="s">
        <v>257</v>
      </c>
      <c r="D174" s="12">
        <v>0</v>
      </c>
      <c r="E174" s="13">
        <v>180</v>
      </c>
      <c r="F174" s="13">
        <v>-57398</v>
      </c>
      <c r="G174" s="14" t="s">
        <v>258</v>
      </c>
      <c r="H174" s="19">
        <f>Table4[[#This Row],[Credit (₹)]]-Table4[[#This Row],[Debit (₹)]]</f>
        <v>180</v>
      </c>
      <c r="I174" t="s">
        <v>35</v>
      </c>
      <c r="J174" t="str">
        <f>_xlfn.XLOOKUP(Table4[[#This Row],[Subcategory]],Categories[Subcategory],Categories[Category],"Add Subcategory")</f>
        <v>Family Support &amp; Financial Aid</v>
      </c>
      <c r="K174" t="str">
        <f>_xlfn.XLOOKUP(Table4[[#This Row],[Subcategory]],Categories[Subcategory],Categories[Categorys Type],"Add Subcategory")</f>
        <v>Income</v>
      </c>
    </row>
    <row r="175" spans="1:11" x14ac:dyDescent="0.3">
      <c r="A175" t="s">
        <v>166</v>
      </c>
      <c r="B175" s="10">
        <v>45838</v>
      </c>
      <c r="C175" s="11" t="s">
        <v>156</v>
      </c>
      <c r="D175" s="12">
        <v>0</v>
      </c>
      <c r="E175" s="12">
        <v>0</v>
      </c>
      <c r="F175" s="13">
        <v>-86405</v>
      </c>
      <c r="G175" s="14" t="s">
        <v>157</v>
      </c>
      <c r="H175" s="19">
        <f>Table4[[#This Row],[Credit (₹)]]-Table4[[#This Row],[Debit (₹)]]</f>
        <v>0</v>
      </c>
      <c r="I175" t="s">
        <v>23</v>
      </c>
      <c r="J175" t="str">
        <f>_xlfn.XLOOKUP(Table4[[#This Row],[Subcategory]],Categories[Subcategory],Categories[Category],"Add Subcategory")</f>
        <v>Other Expences</v>
      </c>
      <c r="K175" t="str">
        <f>_xlfn.XLOOKUP(Table4[[#This Row],[Subcategory]],Categories[Subcategory],Categories[Categorys Type],"Add Subcategory")</f>
        <v>Expense</v>
      </c>
    </row>
    <row r="176" spans="1:11" x14ac:dyDescent="0.3">
      <c r="A176" s="42" t="s">
        <v>284</v>
      </c>
      <c r="B176" s="43">
        <v>45839</v>
      </c>
      <c r="C176" s="44" t="s">
        <v>285</v>
      </c>
      <c r="D176" s="45">
        <v>0</v>
      </c>
      <c r="E176" s="45">
        <v>50000</v>
      </c>
      <c r="F176" s="47">
        <f>E176-D176</f>
        <v>50000</v>
      </c>
      <c r="G176" s="46" t="s">
        <v>286</v>
      </c>
      <c r="H176" s="19">
        <f>Table4[[#This Row],[Credit (₹)]]-Table4[[#This Row],[Debit (₹)]]</f>
        <v>50000</v>
      </c>
      <c r="I176" s="48" t="s">
        <v>418</v>
      </c>
      <c r="J176" s="18" t="str">
        <f>_xlfn.XLOOKUP(Table4[[#This Row],[Subcategory]],Categories[Subcategory],Categories[Category],"Add Subcategory")</f>
        <v>Salary</v>
      </c>
      <c r="K176" s="18" t="str">
        <f>_xlfn.XLOOKUP(Table4[[#This Row],[Subcategory]],Categories[Subcategory],Categories[Categorys Type],"Add Subcategory")</f>
        <v>Income</v>
      </c>
    </row>
    <row r="177" spans="1:11" x14ac:dyDescent="0.3">
      <c r="A177" s="35" t="s">
        <v>284</v>
      </c>
      <c r="B177" s="36">
        <v>45839</v>
      </c>
      <c r="C177" s="37" t="s">
        <v>287</v>
      </c>
      <c r="D177" s="38">
        <v>5000</v>
      </c>
      <c r="E177" s="38">
        <v>0</v>
      </c>
      <c r="F177" s="39">
        <f t="shared" ref="F177:F240" si="0">F176+E177-D177</f>
        <v>45000</v>
      </c>
      <c r="G177" s="40" t="s">
        <v>288</v>
      </c>
      <c r="H177" s="19">
        <f>Table4[[#This Row],[Credit (₹)]]-Table4[[#This Row],[Debit (₹)]]</f>
        <v>-5000</v>
      </c>
      <c r="I177" s="49" t="s">
        <v>409</v>
      </c>
      <c r="J177" s="18" t="str">
        <f>_xlfn.XLOOKUP(Table4[[#This Row],[Subcategory]],Categories[Subcategory],Categories[Category],"Add Subcategory")</f>
        <v>Saving</v>
      </c>
      <c r="K177" s="18" t="str">
        <f>_xlfn.XLOOKUP(Table4[[#This Row],[Subcategory]],Categories[Subcategory],Categories[Categorys Type],"Add Subcategory")</f>
        <v>Expense</v>
      </c>
    </row>
    <row r="178" spans="1:11" x14ac:dyDescent="0.3">
      <c r="A178" s="42" t="s">
        <v>284</v>
      </c>
      <c r="B178" s="43">
        <v>45840</v>
      </c>
      <c r="C178" s="44" t="s">
        <v>289</v>
      </c>
      <c r="D178" s="45">
        <v>12000</v>
      </c>
      <c r="E178" s="45">
        <v>0</v>
      </c>
      <c r="F178" s="47">
        <f t="shared" si="0"/>
        <v>33000</v>
      </c>
      <c r="G178" s="46" t="s">
        <v>290</v>
      </c>
      <c r="H178" s="19">
        <f>Table4[[#This Row],[Credit (₹)]]-Table4[[#This Row],[Debit (₹)]]</f>
        <v>-12000</v>
      </c>
      <c r="I178" s="49" t="s">
        <v>413</v>
      </c>
      <c r="J178" s="18" t="str">
        <f>_xlfn.XLOOKUP(Table4[[#This Row],[Subcategory]],Categories[Subcategory],Categories[Category],"Add Subcategory")</f>
        <v>Accommodation &amp; Utilities</v>
      </c>
      <c r="K178" s="18" t="str">
        <f>_xlfn.XLOOKUP(Table4[[#This Row],[Subcategory]],Categories[Subcategory],Categories[Categorys Type],"Add Subcategory")</f>
        <v>Expense</v>
      </c>
    </row>
    <row r="179" spans="1:11" x14ac:dyDescent="0.3">
      <c r="A179" s="35" t="s">
        <v>284</v>
      </c>
      <c r="B179" s="36">
        <v>45841</v>
      </c>
      <c r="C179" s="37" t="s">
        <v>291</v>
      </c>
      <c r="D179" s="38">
        <v>900</v>
      </c>
      <c r="E179" s="38">
        <v>0</v>
      </c>
      <c r="F179" s="39">
        <f t="shared" si="0"/>
        <v>32100</v>
      </c>
      <c r="G179" s="40" t="s">
        <v>292</v>
      </c>
      <c r="H179" s="19">
        <f>Table4[[#This Row],[Credit (₹)]]-Table4[[#This Row],[Debit (₹)]]</f>
        <v>-900</v>
      </c>
      <c r="I179" s="49" t="s">
        <v>4</v>
      </c>
      <c r="J179" s="18" t="str">
        <f>_xlfn.XLOOKUP(Table4[[#This Row],[Subcategory]],Categories[Subcategory],Categories[Category],"Add Subcategory")</f>
        <v>Accommodation &amp; Utilities</v>
      </c>
      <c r="K179" s="18" t="str">
        <f>_xlfn.XLOOKUP(Table4[[#This Row],[Subcategory]],Categories[Subcategory],Categories[Categorys Type],"Add Subcategory")</f>
        <v>Expense</v>
      </c>
    </row>
    <row r="180" spans="1:11" x14ac:dyDescent="0.3">
      <c r="A180" s="42" t="s">
        <v>284</v>
      </c>
      <c r="B180" s="43">
        <v>45842</v>
      </c>
      <c r="C180" s="44" t="s">
        <v>293</v>
      </c>
      <c r="D180" s="45">
        <v>1800</v>
      </c>
      <c r="E180" s="45">
        <v>0</v>
      </c>
      <c r="F180" s="47">
        <f t="shared" si="0"/>
        <v>30300</v>
      </c>
      <c r="G180" s="46" t="s">
        <v>294</v>
      </c>
      <c r="H180" s="19">
        <f>Table4[[#This Row],[Credit (₹)]]-Table4[[#This Row],[Debit (₹)]]</f>
        <v>-1800</v>
      </c>
      <c r="I180" s="49" t="s">
        <v>6</v>
      </c>
      <c r="J180" s="18" t="str">
        <f>_xlfn.XLOOKUP(Table4[[#This Row],[Subcategory]],Categories[Subcategory],Categories[Category],"Add Subcategory")</f>
        <v>Food &amp; Daily Living</v>
      </c>
      <c r="K180" s="18" t="str">
        <f>_xlfn.XLOOKUP(Table4[[#This Row],[Subcategory]],Categories[Subcategory],Categories[Categorys Type],"Add Subcategory")</f>
        <v>Expense</v>
      </c>
    </row>
    <row r="181" spans="1:11" x14ac:dyDescent="0.3">
      <c r="A181" s="35" t="s">
        <v>284</v>
      </c>
      <c r="B181" s="36">
        <v>45843</v>
      </c>
      <c r="C181" s="37" t="s">
        <v>414</v>
      </c>
      <c r="D181" s="38">
        <v>3000</v>
      </c>
      <c r="E181" s="38">
        <v>0</v>
      </c>
      <c r="F181" s="39">
        <f t="shared" si="0"/>
        <v>27300</v>
      </c>
      <c r="G181" s="40" t="s">
        <v>415</v>
      </c>
      <c r="H181" s="19">
        <f>Table4[[#This Row],[Credit (₹)]]-Table4[[#This Row],[Debit (₹)]]</f>
        <v>-3000</v>
      </c>
      <c r="I181" s="50" t="s">
        <v>409</v>
      </c>
      <c r="J181" s="18" t="str">
        <f>_xlfn.XLOOKUP(Table4[[#This Row],[Subcategory]],Categories[Subcategory],Categories[Category],"Add Subcategory")</f>
        <v>Saving</v>
      </c>
      <c r="K181" s="18" t="str">
        <f>_xlfn.XLOOKUP(Table4[[#This Row],[Subcategory]],Categories[Subcategory],Categories[Categorys Type],"Add Subcategory")</f>
        <v>Expense</v>
      </c>
    </row>
    <row r="182" spans="1:11" x14ac:dyDescent="0.3">
      <c r="A182" s="42" t="s">
        <v>284</v>
      </c>
      <c r="B182" s="43">
        <v>45845</v>
      </c>
      <c r="C182" s="44" t="s">
        <v>295</v>
      </c>
      <c r="D182" s="45">
        <v>950</v>
      </c>
      <c r="E182" s="45">
        <v>0</v>
      </c>
      <c r="F182" s="47">
        <f t="shared" si="0"/>
        <v>26350</v>
      </c>
      <c r="G182" s="46" t="s">
        <v>296</v>
      </c>
      <c r="H182" s="19">
        <f>Table4[[#This Row],[Credit (₹)]]-Table4[[#This Row],[Debit (₹)]]</f>
        <v>-950</v>
      </c>
      <c r="I182" s="49" t="s">
        <v>6</v>
      </c>
      <c r="J182" s="18" t="str">
        <f>_xlfn.XLOOKUP(Table4[[#This Row],[Subcategory]],Categories[Subcategory],Categories[Category],"Add Subcategory")</f>
        <v>Food &amp; Daily Living</v>
      </c>
      <c r="K182" s="18" t="str">
        <f>_xlfn.XLOOKUP(Table4[[#This Row],[Subcategory]],Categories[Subcategory],Categories[Categorys Type],"Add Subcategory")</f>
        <v>Expense</v>
      </c>
    </row>
    <row r="183" spans="1:11" x14ac:dyDescent="0.3">
      <c r="A183" s="35" t="s">
        <v>284</v>
      </c>
      <c r="B183" s="36">
        <v>45847</v>
      </c>
      <c r="C183" s="37" t="s">
        <v>297</v>
      </c>
      <c r="D183" s="38">
        <v>699</v>
      </c>
      <c r="E183" s="38">
        <v>0</v>
      </c>
      <c r="F183" s="39">
        <f t="shared" si="0"/>
        <v>25651</v>
      </c>
      <c r="G183" s="40" t="s">
        <v>298</v>
      </c>
      <c r="H183" s="19">
        <f>Table4[[#This Row],[Credit (₹)]]-Table4[[#This Row],[Debit (₹)]]</f>
        <v>-699</v>
      </c>
      <c r="I183" s="49" t="s">
        <v>14</v>
      </c>
      <c r="J183" s="18" t="str">
        <f>_xlfn.XLOOKUP(Table4[[#This Row],[Subcategory]],Categories[Subcategory],Categories[Category],"Add Subcategory")</f>
        <v>Personal Care &amp; Lifestyle</v>
      </c>
      <c r="K183" s="18" t="str">
        <f>_xlfn.XLOOKUP(Table4[[#This Row],[Subcategory]],Categories[Subcategory],Categories[Categorys Type],"Add Subcategory")</f>
        <v>Expense</v>
      </c>
    </row>
    <row r="184" spans="1:11" x14ac:dyDescent="0.3">
      <c r="A184" s="42" t="s">
        <v>284</v>
      </c>
      <c r="B184" s="43">
        <v>45848</v>
      </c>
      <c r="C184" s="44" t="s">
        <v>299</v>
      </c>
      <c r="D184" s="45">
        <v>500</v>
      </c>
      <c r="E184" s="45">
        <v>0</v>
      </c>
      <c r="F184" s="47">
        <f t="shared" si="0"/>
        <v>25151</v>
      </c>
      <c r="G184" s="46" t="s">
        <v>71</v>
      </c>
      <c r="H184" s="19">
        <f>Table4[[#This Row],[Credit (₹)]]-Table4[[#This Row],[Debit (₹)]]</f>
        <v>-500</v>
      </c>
      <c r="I184" s="49" t="s">
        <v>10</v>
      </c>
      <c r="J184" s="18" t="str">
        <f>_xlfn.XLOOKUP(Table4[[#This Row],[Subcategory]],Categories[Subcategory],Categories[Category],"Add Subcategory")</f>
        <v>Transport &amp; Travel</v>
      </c>
      <c r="K184" s="18" t="str">
        <f>_xlfn.XLOOKUP(Table4[[#This Row],[Subcategory]],Categories[Subcategory],Categories[Categorys Type],"Add Subcategory")</f>
        <v>Expense</v>
      </c>
    </row>
    <row r="185" spans="1:11" x14ac:dyDescent="0.3">
      <c r="A185" s="35" t="s">
        <v>284</v>
      </c>
      <c r="B185" s="36">
        <v>45850</v>
      </c>
      <c r="C185" s="37" t="s">
        <v>300</v>
      </c>
      <c r="D185" s="38">
        <v>498</v>
      </c>
      <c r="E185" s="38">
        <v>0</v>
      </c>
      <c r="F185" s="39">
        <f t="shared" si="0"/>
        <v>24653</v>
      </c>
      <c r="G185" s="40" t="s">
        <v>301</v>
      </c>
      <c r="H185" s="19">
        <f>Table4[[#This Row],[Credit (₹)]]-Table4[[#This Row],[Debit (₹)]]</f>
        <v>-498</v>
      </c>
      <c r="I185" s="49" t="s">
        <v>20</v>
      </c>
      <c r="J185" s="18" t="str">
        <f>_xlfn.XLOOKUP(Table4[[#This Row],[Subcategory]],Categories[Subcategory],Categories[Category],"Add Subcategory")</f>
        <v>Personal Care &amp; Lifestyle</v>
      </c>
      <c r="K185" s="18" t="str">
        <f>_xlfn.XLOOKUP(Table4[[#This Row],[Subcategory]],Categories[Subcategory],Categories[Categorys Type],"Add Subcategory")</f>
        <v>Expense</v>
      </c>
    </row>
    <row r="186" spans="1:11" x14ac:dyDescent="0.3">
      <c r="A186" s="42" t="s">
        <v>284</v>
      </c>
      <c r="B186" s="43">
        <v>45853</v>
      </c>
      <c r="C186" s="44" t="s">
        <v>302</v>
      </c>
      <c r="D186" s="45">
        <v>2500</v>
      </c>
      <c r="E186" s="45">
        <v>0</v>
      </c>
      <c r="F186" s="47">
        <f t="shared" si="0"/>
        <v>22153</v>
      </c>
      <c r="G186" s="46" t="s">
        <v>303</v>
      </c>
      <c r="H186" s="19">
        <f>Table4[[#This Row],[Credit (₹)]]-Table4[[#This Row],[Debit (₹)]]</f>
        <v>-2500</v>
      </c>
      <c r="I186" s="49" t="s">
        <v>419</v>
      </c>
      <c r="J186" s="18" t="str">
        <f>_xlfn.XLOOKUP(Table4[[#This Row],[Subcategory]],Categories[Subcategory],Categories[Category],"Add Subcategory")</f>
        <v xml:space="preserve">Finance </v>
      </c>
      <c r="K186" s="18" t="str">
        <f>_xlfn.XLOOKUP(Table4[[#This Row],[Subcategory]],Categories[Subcategory],Categories[Categorys Type],"Add Subcategory")</f>
        <v>Expense</v>
      </c>
    </row>
    <row r="187" spans="1:11" x14ac:dyDescent="0.3">
      <c r="A187" s="35" t="s">
        <v>284</v>
      </c>
      <c r="B187" s="36">
        <v>45856</v>
      </c>
      <c r="C187" s="37" t="s">
        <v>304</v>
      </c>
      <c r="D187" s="38">
        <v>1999</v>
      </c>
      <c r="E187" s="38">
        <v>0</v>
      </c>
      <c r="F187" s="39">
        <f t="shared" si="0"/>
        <v>20154</v>
      </c>
      <c r="G187" s="40" t="s">
        <v>305</v>
      </c>
      <c r="H187" s="19">
        <f>Table4[[#This Row],[Credit (₹)]]-Table4[[#This Row],[Debit (₹)]]</f>
        <v>-1999</v>
      </c>
      <c r="I187" s="49" t="s">
        <v>12</v>
      </c>
      <c r="J187" s="18" t="str">
        <f>_xlfn.XLOOKUP(Table4[[#This Row],[Subcategory]],Categories[Subcategory],Categories[Category],"Add Subcategory")</f>
        <v>Personal Care &amp; Lifestyle</v>
      </c>
      <c r="K187" s="18" t="str">
        <f>_xlfn.XLOOKUP(Table4[[#This Row],[Subcategory]],Categories[Subcategory],Categories[Categorys Type],"Add Subcategory")</f>
        <v>Expense</v>
      </c>
    </row>
    <row r="188" spans="1:11" x14ac:dyDescent="0.3">
      <c r="A188" s="42" t="s">
        <v>284</v>
      </c>
      <c r="B188" s="43">
        <v>45858</v>
      </c>
      <c r="C188" s="44" t="s">
        <v>306</v>
      </c>
      <c r="D188" s="45">
        <v>550</v>
      </c>
      <c r="E188" s="45">
        <v>0</v>
      </c>
      <c r="F188" s="47">
        <f t="shared" si="0"/>
        <v>19604</v>
      </c>
      <c r="G188" s="46" t="s">
        <v>307</v>
      </c>
      <c r="H188" s="19">
        <f>Table4[[#This Row],[Credit (₹)]]-Table4[[#This Row],[Debit (₹)]]</f>
        <v>-550</v>
      </c>
      <c r="I188" s="49" t="s">
        <v>5</v>
      </c>
      <c r="J188" s="18" t="str">
        <f>_xlfn.XLOOKUP(Table4[[#This Row],[Subcategory]],Categories[Subcategory],Categories[Category],"Add Subcategory")</f>
        <v>Food &amp; Daily Living</v>
      </c>
      <c r="K188" s="18" t="str">
        <f>_xlfn.XLOOKUP(Table4[[#This Row],[Subcategory]],Categories[Subcategory],Categories[Categorys Type],"Add Subcategory")</f>
        <v>Expense</v>
      </c>
    </row>
    <row r="189" spans="1:11" x14ac:dyDescent="0.3">
      <c r="A189" s="35" t="s">
        <v>284</v>
      </c>
      <c r="B189" s="36">
        <v>45860</v>
      </c>
      <c r="C189" s="37" t="s">
        <v>122</v>
      </c>
      <c r="D189" s="38">
        <v>1200</v>
      </c>
      <c r="E189" s="38">
        <v>0</v>
      </c>
      <c r="F189" s="39">
        <f t="shared" si="0"/>
        <v>18404</v>
      </c>
      <c r="G189" s="40" t="s">
        <v>308</v>
      </c>
      <c r="H189" s="19">
        <f>Table4[[#This Row],[Credit (₹)]]-Table4[[#This Row],[Debit (₹)]]</f>
        <v>-1200</v>
      </c>
      <c r="I189" s="49" t="s">
        <v>17</v>
      </c>
      <c r="J189" s="18" t="str">
        <f>_xlfn.XLOOKUP(Table4[[#This Row],[Subcategory]],Categories[Subcategory],Categories[Category],"Add Subcategory")</f>
        <v>Personal Care &amp; Lifestyle</v>
      </c>
      <c r="K189" s="18" t="str">
        <f>_xlfn.XLOOKUP(Table4[[#This Row],[Subcategory]],Categories[Subcategory],Categories[Categorys Type],"Add Subcategory")</f>
        <v>Expense</v>
      </c>
    </row>
    <row r="190" spans="1:11" x14ac:dyDescent="0.3">
      <c r="A190" s="42" t="s">
        <v>284</v>
      </c>
      <c r="B190" s="43">
        <v>45863</v>
      </c>
      <c r="C190" s="44" t="s">
        <v>309</v>
      </c>
      <c r="D190" s="45">
        <v>5000</v>
      </c>
      <c r="E190" s="45">
        <v>0</v>
      </c>
      <c r="F190" s="47">
        <f t="shared" si="0"/>
        <v>13404</v>
      </c>
      <c r="G190" s="46" t="s">
        <v>310</v>
      </c>
      <c r="H190" s="19">
        <f>Table4[[#This Row],[Credit (₹)]]-Table4[[#This Row],[Debit (₹)]]</f>
        <v>-5000</v>
      </c>
      <c r="I190" s="49" t="s">
        <v>34</v>
      </c>
      <c r="J190" s="18" t="str">
        <f>_xlfn.XLOOKUP(Table4[[#This Row],[Subcategory]],Categories[Subcategory],Categories[Category],"Add Subcategory")</f>
        <v>Family Support &amp; Financial Aid</v>
      </c>
      <c r="K190" s="18" t="str">
        <f>_xlfn.XLOOKUP(Table4[[#This Row],[Subcategory]],Categories[Subcategory],Categories[Categorys Type],"Add Subcategory")</f>
        <v>Income</v>
      </c>
    </row>
    <row r="191" spans="1:11" x14ac:dyDescent="0.3">
      <c r="A191" s="35" t="s">
        <v>284</v>
      </c>
      <c r="B191" s="36">
        <v>45866</v>
      </c>
      <c r="C191" s="37" t="s">
        <v>311</v>
      </c>
      <c r="D191" s="38">
        <v>3500</v>
      </c>
      <c r="E191" s="38">
        <v>0</v>
      </c>
      <c r="F191" s="39">
        <f t="shared" si="0"/>
        <v>9904</v>
      </c>
      <c r="G191" s="40" t="s">
        <v>312</v>
      </c>
      <c r="H191" s="19">
        <f>Table4[[#This Row],[Credit (₹)]]-Table4[[#This Row],[Debit (₹)]]</f>
        <v>-3500</v>
      </c>
      <c r="I191" s="49" t="s">
        <v>419</v>
      </c>
      <c r="J191" s="18" t="str">
        <f>_xlfn.XLOOKUP(Table4[[#This Row],[Subcategory]],Categories[Subcategory],Categories[Category],"Add Subcategory")</f>
        <v xml:space="preserve">Finance </v>
      </c>
      <c r="K191" s="18" t="str">
        <f>_xlfn.XLOOKUP(Table4[[#This Row],[Subcategory]],Categories[Subcategory],Categories[Categorys Type],"Add Subcategory")</f>
        <v>Expense</v>
      </c>
    </row>
    <row r="192" spans="1:11" x14ac:dyDescent="0.3">
      <c r="A192" s="42" t="s">
        <v>284</v>
      </c>
      <c r="B192" s="43">
        <v>45868</v>
      </c>
      <c r="C192" s="44" t="s">
        <v>313</v>
      </c>
      <c r="D192" s="45">
        <v>0</v>
      </c>
      <c r="E192" s="45">
        <v>180</v>
      </c>
      <c r="F192" s="47">
        <f t="shared" si="0"/>
        <v>10084</v>
      </c>
      <c r="G192" s="46" t="s">
        <v>155</v>
      </c>
      <c r="H192" s="19">
        <f>Table4[[#This Row],[Credit (₹)]]-Table4[[#This Row],[Debit (₹)]]</f>
        <v>180</v>
      </c>
      <c r="I192" s="48" t="s">
        <v>38</v>
      </c>
      <c r="J192" s="18" t="str">
        <f>_xlfn.XLOOKUP(Table4[[#This Row],[Subcategory]],Categories[Subcategory],Categories[Category],"Add Subcategory")</f>
        <v>Refunds &amp; Adjustments</v>
      </c>
      <c r="K192" s="18" t="str">
        <f>_xlfn.XLOOKUP(Table4[[#This Row],[Subcategory]],Categories[Subcategory],Categories[Categorys Type],"Add Subcategory")</f>
        <v>Income</v>
      </c>
    </row>
    <row r="193" spans="1:11" x14ac:dyDescent="0.3">
      <c r="A193" s="35" t="s">
        <v>284</v>
      </c>
      <c r="B193" s="36">
        <v>45870</v>
      </c>
      <c r="C193" s="37" t="s">
        <v>314</v>
      </c>
      <c r="D193" s="38">
        <v>0</v>
      </c>
      <c r="E193" s="38">
        <v>50000</v>
      </c>
      <c r="F193" s="39">
        <f t="shared" si="0"/>
        <v>60084</v>
      </c>
      <c r="G193" s="40" t="s">
        <v>286</v>
      </c>
      <c r="H193" s="19">
        <f>Table4[[#This Row],[Credit (₹)]]-Table4[[#This Row],[Debit (₹)]]</f>
        <v>50000</v>
      </c>
      <c r="I193" s="48" t="s">
        <v>418</v>
      </c>
      <c r="J193" s="18" t="str">
        <f>_xlfn.XLOOKUP(Table4[[#This Row],[Subcategory]],Categories[Subcategory],Categories[Category],"Add Subcategory")</f>
        <v>Salary</v>
      </c>
      <c r="K193" s="18" t="str">
        <f>_xlfn.XLOOKUP(Table4[[#This Row],[Subcategory]],Categories[Subcategory],Categories[Categorys Type],"Add Subcategory")</f>
        <v>Income</v>
      </c>
    </row>
    <row r="194" spans="1:11" x14ac:dyDescent="0.3">
      <c r="A194" s="42" t="s">
        <v>284</v>
      </c>
      <c r="B194" s="43">
        <v>45870</v>
      </c>
      <c r="C194" s="44" t="s">
        <v>287</v>
      </c>
      <c r="D194" s="45">
        <v>5000</v>
      </c>
      <c r="E194" s="45">
        <v>0</v>
      </c>
      <c r="F194" s="47">
        <f t="shared" si="0"/>
        <v>55084</v>
      </c>
      <c r="G194" s="46" t="s">
        <v>315</v>
      </c>
      <c r="H194" s="19">
        <f>Table4[[#This Row],[Credit (₹)]]-Table4[[#This Row],[Debit (₹)]]</f>
        <v>-5000</v>
      </c>
      <c r="I194" s="49" t="s">
        <v>409</v>
      </c>
      <c r="J194" s="18" t="str">
        <f>_xlfn.XLOOKUP(Table4[[#This Row],[Subcategory]],Categories[Subcategory],Categories[Category],"Add Subcategory")</f>
        <v>Saving</v>
      </c>
      <c r="K194" s="18" t="str">
        <f>_xlfn.XLOOKUP(Table4[[#This Row],[Subcategory]],Categories[Subcategory],Categories[Categorys Type],"Add Subcategory")</f>
        <v>Expense</v>
      </c>
    </row>
    <row r="195" spans="1:11" x14ac:dyDescent="0.3">
      <c r="A195" s="35" t="s">
        <v>284</v>
      </c>
      <c r="B195" s="36">
        <v>45871</v>
      </c>
      <c r="C195" s="37" t="s">
        <v>316</v>
      </c>
      <c r="D195" s="38">
        <v>12000</v>
      </c>
      <c r="E195" s="38">
        <v>0</v>
      </c>
      <c r="F195" s="39">
        <f t="shared" si="0"/>
        <v>43084</v>
      </c>
      <c r="G195" s="40" t="s">
        <v>317</v>
      </c>
      <c r="H195" s="19">
        <f>Table4[[#This Row],[Credit (₹)]]-Table4[[#This Row],[Debit (₹)]]</f>
        <v>-12000</v>
      </c>
      <c r="I195" s="49" t="s">
        <v>413</v>
      </c>
      <c r="J195" s="18" t="str">
        <f>_xlfn.XLOOKUP(Table4[[#This Row],[Subcategory]],Categories[Subcategory],Categories[Category],"Add Subcategory")</f>
        <v>Accommodation &amp; Utilities</v>
      </c>
      <c r="K195" s="18" t="str">
        <f>_xlfn.XLOOKUP(Table4[[#This Row],[Subcategory]],Categories[Subcategory],Categories[Categorys Type],"Add Subcategory")</f>
        <v>Expense</v>
      </c>
    </row>
    <row r="196" spans="1:11" x14ac:dyDescent="0.3">
      <c r="A196" s="42" t="s">
        <v>284</v>
      </c>
      <c r="B196" s="43">
        <v>45872</v>
      </c>
      <c r="C196" s="44" t="s">
        <v>66</v>
      </c>
      <c r="D196" s="45">
        <v>880</v>
      </c>
      <c r="E196" s="45">
        <v>0</v>
      </c>
      <c r="F196" s="47">
        <f t="shared" si="0"/>
        <v>42204</v>
      </c>
      <c r="G196" s="46"/>
      <c r="H196" s="19">
        <f>Table4[[#This Row],[Credit (₹)]]-Table4[[#This Row],[Debit (₹)]]</f>
        <v>-880</v>
      </c>
      <c r="I196" s="49" t="s">
        <v>4</v>
      </c>
      <c r="J196" s="18" t="str">
        <f>_xlfn.XLOOKUP(Table4[[#This Row],[Subcategory]],Categories[Subcategory],Categories[Category],"Add Subcategory")</f>
        <v>Accommodation &amp; Utilities</v>
      </c>
      <c r="K196" s="18" t="str">
        <f>_xlfn.XLOOKUP(Table4[[#This Row],[Subcategory]],Categories[Subcategory],Categories[Categorys Type],"Add Subcategory")</f>
        <v>Expense</v>
      </c>
    </row>
    <row r="197" spans="1:11" x14ac:dyDescent="0.3">
      <c r="A197" s="35" t="s">
        <v>284</v>
      </c>
      <c r="B197" s="36">
        <v>45873</v>
      </c>
      <c r="C197" s="37" t="s">
        <v>318</v>
      </c>
      <c r="D197" s="38">
        <v>1650</v>
      </c>
      <c r="E197" s="38">
        <v>0</v>
      </c>
      <c r="F197" s="39">
        <f t="shared" si="0"/>
        <v>40554</v>
      </c>
      <c r="G197" s="40" t="s">
        <v>294</v>
      </c>
      <c r="H197" s="19">
        <f>Table4[[#This Row],[Credit (₹)]]-Table4[[#This Row],[Debit (₹)]]</f>
        <v>-1650</v>
      </c>
      <c r="I197" s="49" t="s">
        <v>6</v>
      </c>
      <c r="J197" s="18" t="str">
        <f>_xlfn.XLOOKUP(Table4[[#This Row],[Subcategory]],Categories[Subcategory],Categories[Category],"Add Subcategory")</f>
        <v>Food &amp; Daily Living</v>
      </c>
      <c r="K197" s="18" t="str">
        <f>_xlfn.XLOOKUP(Table4[[#This Row],[Subcategory]],Categories[Subcategory],Categories[Categorys Type],"Add Subcategory")</f>
        <v>Expense</v>
      </c>
    </row>
    <row r="198" spans="1:11" x14ac:dyDescent="0.3">
      <c r="A198" s="42" t="s">
        <v>284</v>
      </c>
      <c r="B198" s="43">
        <v>45874</v>
      </c>
      <c r="C198" s="44" t="s">
        <v>414</v>
      </c>
      <c r="D198" s="45">
        <v>3000</v>
      </c>
      <c r="E198" s="45">
        <v>0</v>
      </c>
      <c r="F198" s="47">
        <f t="shared" si="0"/>
        <v>37554</v>
      </c>
      <c r="G198" s="46" t="s">
        <v>416</v>
      </c>
      <c r="H198" s="19">
        <f>Table4[[#This Row],[Credit (₹)]]-Table4[[#This Row],[Debit (₹)]]</f>
        <v>-3000</v>
      </c>
      <c r="I198" s="50" t="s">
        <v>409</v>
      </c>
      <c r="J198" s="18" t="str">
        <f>_xlfn.XLOOKUP(Table4[[#This Row],[Subcategory]],Categories[Subcategory],Categories[Category],"Add Subcategory")</f>
        <v>Saving</v>
      </c>
      <c r="K198" s="18" t="str">
        <f>_xlfn.XLOOKUP(Table4[[#This Row],[Subcategory]],Categories[Subcategory],Categories[Categorys Type],"Add Subcategory")</f>
        <v>Expense</v>
      </c>
    </row>
    <row r="199" spans="1:11" x14ac:dyDescent="0.3">
      <c r="A199" s="35" t="s">
        <v>284</v>
      </c>
      <c r="B199" s="36">
        <v>45877</v>
      </c>
      <c r="C199" s="37" t="s">
        <v>295</v>
      </c>
      <c r="D199" s="38">
        <v>1100</v>
      </c>
      <c r="E199" s="38">
        <v>0</v>
      </c>
      <c r="F199" s="39">
        <f t="shared" si="0"/>
        <v>36454</v>
      </c>
      <c r="G199" s="40"/>
      <c r="H199" s="19">
        <f>Table4[[#This Row],[Credit (₹)]]-Table4[[#This Row],[Debit (₹)]]</f>
        <v>-1100</v>
      </c>
      <c r="I199" s="49" t="s">
        <v>6</v>
      </c>
      <c r="J199" s="18" t="str">
        <f>_xlfn.XLOOKUP(Table4[[#This Row],[Subcategory]],Categories[Subcategory],Categories[Category],"Add Subcategory")</f>
        <v>Food &amp; Daily Living</v>
      </c>
      <c r="K199" s="18" t="str">
        <f>_xlfn.XLOOKUP(Table4[[#This Row],[Subcategory]],Categories[Subcategory],Categories[Categorys Type],"Add Subcategory")</f>
        <v>Expense</v>
      </c>
    </row>
    <row r="200" spans="1:11" x14ac:dyDescent="0.3">
      <c r="A200" s="42" t="s">
        <v>284</v>
      </c>
      <c r="B200" s="43">
        <v>45879</v>
      </c>
      <c r="C200" s="44" t="s">
        <v>319</v>
      </c>
      <c r="D200" s="45">
        <v>699</v>
      </c>
      <c r="E200" s="45">
        <v>0</v>
      </c>
      <c r="F200" s="47">
        <f t="shared" si="0"/>
        <v>35755</v>
      </c>
      <c r="G200" s="46" t="s">
        <v>320</v>
      </c>
      <c r="H200" s="19">
        <f>Table4[[#This Row],[Credit (₹)]]-Table4[[#This Row],[Debit (₹)]]</f>
        <v>-699</v>
      </c>
      <c r="I200" s="49" t="s">
        <v>14</v>
      </c>
      <c r="J200" s="18" t="str">
        <f>_xlfn.XLOOKUP(Table4[[#This Row],[Subcategory]],Categories[Subcategory],Categories[Category],"Add Subcategory")</f>
        <v>Personal Care &amp; Lifestyle</v>
      </c>
      <c r="K200" s="18" t="str">
        <f>_xlfn.XLOOKUP(Table4[[#This Row],[Subcategory]],Categories[Subcategory],Categories[Categorys Type],"Add Subcategory")</f>
        <v>Expense</v>
      </c>
    </row>
    <row r="201" spans="1:11" x14ac:dyDescent="0.3">
      <c r="A201" s="35" t="s">
        <v>284</v>
      </c>
      <c r="B201" s="36">
        <v>45881</v>
      </c>
      <c r="C201" s="37" t="s">
        <v>96</v>
      </c>
      <c r="D201" s="38">
        <v>1250</v>
      </c>
      <c r="E201" s="38">
        <v>0</v>
      </c>
      <c r="F201" s="39">
        <f t="shared" si="0"/>
        <v>34505</v>
      </c>
      <c r="G201" s="40" t="s">
        <v>321</v>
      </c>
      <c r="H201" s="19">
        <f>Table4[[#This Row],[Credit (₹)]]-Table4[[#This Row],[Debit (₹)]]</f>
        <v>-1250</v>
      </c>
      <c r="I201" s="49" t="s">
        <v>11</v>
      </c>
      <c r="J201" s="18" t="str">
        <f>_xlfn.XLOOKUP(Table4[[#This Row],[Subcategory]],Categories[Subcategory],Categories[Category],"Add Subcategory")</f>
        <v>Transport &amp; Travel</v>
      </c>
      <c r="K201" s="18" t="str">
        <f>_xlfn.XLOOKUP(Table4[[#This Row],[Subcategory]],Categories[Subcategory],Categories[Categorys Type],"Add Subcategory")</f>
        <v>Expense</v>
      </c>
    </row>
    <row r="202" spans="1:11" x14ac:dyDescent="0.3">
      <c r="A202" s="42" t="s">
        <v>284</v>
      </c>
      <c r="B202" s="43">
        <v>45884</v>
      </c>
      <c r="C202" s="44" t="s">
        <v>322</v>
      </c>
      <c r="D202" s="45">
        <v>800</v>
      </c>
      <c r="E202" s="45">
        <v>0</v>
      </c>
      <c r="F202" s="47">
        <f t="shared" si="0"/>
        <v>33705</v>
      </c>
      <c r="G202" s="46" t="s">
        <v>323</v>
      </c>
      <c r="H202" s="19">
        <f>Table4[[#This Row],[Credit (₹)]]-Table4[[#This Row],[Debit (₹)]]</f>
        <v>-800</v>
      </c>
      <c r="I202" s="49" t="s">
        <v>16</v>
      </c>
      <c r="J202" s="18" t="str">
        <f>_xlfn.XLOOKUP(Table4[[#This Row],[Subcategory]],Categories[Subcategory],Categories[Category],"Add Subcategory")</f>
        <v>Health &amp; Medical</v>
      </c>
      <c r="K202" s="18" t="str">
        <f>_xlfn.XLOOKUP(Table4[[#This Row],[Subcategory]],Categories[Subcategory],Categories[Categorys Type],"Add Subcategory")</f>
        <v>Expense</v>
      </c>
    </row>
    <row r="203" spans="1:11" x14ac:dyDescent="0.3">
      <c r="A203" s="35" t="s">
        <v>284</v>
      </c>
      <c r="B203" s="36">
        <v>45887</v>
      </c>
      <c r="C203" s="37" t="s">
        <v>324</v>
      </c>
      <c r="D203" s="38">
        <v>1200</v>
      </c>
      <c r="E203" s="38">
        <v>0</v>
      </c>
      <c r="F203" s="39">
        <f t="shared" si="0"/>
        <v>32505</v>
      </c>
      <c r="G203" s="40" t="s">
        <v>325</v>
      </c>
      <c r="H203" s="19">
        <f>Table4[[#This Row],[Credit (₹)]]-Table4[[#This Row],[Debit (₹)]]</f>
        <v>-1200</v>
      </c>
      <c r="I203" s="49" t="s">
        <v>23</v>
      </c>
      <c r="J203" s="18" t="str">
        <f>_xlfn.XLOOKUP(Table4[[#This Row],[Subcategory]],Categories[Subcategory],Categories[Category],"Add Subcategory")</f>
        <v>Other Expences</v>
      </c>
      <c r="K203" s="18" t="str">
        <f>_xlfn.XLOOKUP(Table4[[#This Row],[Subcategory]],Categories[Subcategory],Categories[Categorys Type],"Add Subcategory")</f>
        <v>Expense</v>
      </c>
    </row>
    <row r="204" spans="1:11" x14ac:dyDescent="0.3">
      <c r="A204" s="42" t="s">
        <v>284</v>
      </c>
      <c r="B204" s="43">
        <v>45894</v>
      </c>
      <c r="C204" s="44" t="s">
        <v>309</v>
      </c>
      <c r="D204" s="45">
        <v>5000</v>
      </c>
      <c r="E204" s="45">
        <v>0</v>
      </c>
      <c r="F204" s="47">
        <f t="shared" si="0"/>
        <v>27505</v>
      </c>
      <c r="G204" s="46" t="s">
        <v>310</v>
      </c>
      <c r="H204" s="19">
        <f>Table4[[#This Row],[Credit (₹)]]-Table4[[#This Row],[Debit (₹)]]</f>
        <v>-5000</v>
      </c>
      <c r="I204" s="49" t="s">
        <v>34</v>
      </c>
      <c r="J204" s="18" t="str">
        <f>_xlfn.XLOOKUP(Table4[[#This Row],[Subcategory]],Categories[Subcategory],Categories[Category],"Add Subcategory")</f>
        <v>Family Support &amp; Financial Aid</v>
      </c>
      <c r="K204" s="18" t="str">
        <f>_xlfn.XLOOKUP(Table4[[#This Row],[Subcategory]],Categories[Subcategory],Categories[Categorys Type],"Add Subcategory")</f>
        <v>Income</v>
      </c>
    </row>
    <row r="205" spans="1:11" x14ac:dyDescent="0.3">
      <c r="A205" s="35" t="s">
        <v>284</v>
      </c>
      <c r="B205" s="36">
        <v>45897</v>
      </c>
      <c r="C205" s="37" t="s">
        <v>311</v>
      </c>
      <c r="D205" s="38">
        <v>3500</v>
      </c>
      <c r="E205" s="38">
        <v>0</v>
      </c>
      <c r="F205" s="39">
        <f t="shared" si="0"/>
        <v>24005</v>
      </c>
      <c r="G205" s="40" t="s">
        <v>326</v>
      </c>
      <c r="H205" s="19">
        <f>Table4[[#This Row],[Credit (₹)]]-Table4[[#This Row],[Debit (₹)]]</f>
        <v>-3500</v>
      </c>
      <c r="I205" s="49" t="s">
        <v>419</v>
      </c>
      <c r="J205" s="18" t="str">
        <f>_xlfn.XLOOKUP(Table4[[#This Row],[Subcategory]],Categories[Subcategory],Categories[Category],"Add Subcategory")</f>
        <v xml:space="preserve">Finance </v>
      </c>
      <c r="K205" s="18" t="str">
        <f>_xlfn.XLOOKUP(Table4[[#This Row],[Subcategory]],Categories[Subcategory],Categories[Categorys Type],"Add Subcategory")</f>
        <v>Expense</v>
      </c>
    </row>
    <row r="206" spans="1:11" x14ac:dyDescent="0.3">
      <c r="A206" s="42" t="s">
        <v>284</v>
      </c>
      <c r="B206" s="43">
        <v>45901</v>
      </c>
      <c r="C206" s="44" t="s">
        <v>327</v>
      </c>
      <c r="D206" s="45">
        <v>0</v>
      </c>
      <c r="E206" s="45">
        <v>50000</v>
      </c>
      <c r="F206" s="47">
        <f t="shared" si="0"/>
        <v>74005</v>
      </c>
      <c r="G206" s="46" t="s">
        <v>286</v>
      </c>
      <c r="H206" s="19">
        <f>Table4[[#This Row],[Credit (₹)]]-Table4[[#This Row],[Debit (₹)]]</f>
        <v>50000</v>
      </c>
      <c r="I206" s="48" t="s">
        <v>418</v>
      </c>
      <c r="J206" s="18" t="str">
        <f>_xlfn.XLOOKUP(Table4[[#This Row],[Subcategory]],Categories[Subcategory],Categories[Category],"Add Subcategory")</f>
        <v>Salary</v>
      </c>
      <c r="K206" s="18" t="str">
        <f>_xlfn.XLOOKUP(Table4[[#This Row],[Subcategory]],Categories[Subcategory],Categories[Categorys Type],"Add Subcategory")</f>
        <v>Income</v>
      </c>
    </row>
    <row r="207" spans="1:11" x14ac:dyDescent="0.3">
      <c r="A207" s="35" t="s">
        <v>284</v>
      </c>
      <c r="B207" s="36">
        <v>45901</v>
      </c>
      <c r="C207" s="37" t="s">
        <v>287</v>
      </c>
      <c r="D207" s="38">
        <v>5000</v>
      </c>
      <c r="E207" s="38">
        <v>0</v>
      </c>
      <c r="F207" s="39">
        <f t="shared" si="0"/>
        <v>69005</v>
      </c>
      <c r="G207" s="40" t="s">
        <v>315</v>
      </c>
      <c r="H207" s="19">
        <f>Table4[[#This Row],[Credit (₹)]]-Table4[[#This Row],[Debit (₹)]]</f>
        <v>-5000</v>
      </c>
      <c r="I207" s="49" t="s">
        <v>409</v>
      </c>
      <c r="J207" s="18" t="str">
        <f>_xlfn.XLOOKUP(Table4[[#This Row],[Subcategory]],Categories[Subcategory],Categories[Category],"Add Subcategory")</f>
        <v>Saving</v>
      </c>
      <c r="K207" s="18" t="str">
        <f>_xlfn.XLOOKUP(Table4[[#This Row],[Subcategory]],Categories[Subcategory],Categories[Categorys Type],"Add Subcategory")</f>
        <v>Expense</v>
      </c>
    </row>
    <row r="208" spans="1:11" x14ac:dyDescent="0.3">
      <c r="A208" s="42" t="s">
        <v>284</v>
      </c>
      <c r="B208" s="43">
        <v>45902</v>
      </c>
      <c r="C208" s="44" t="s">
        <v>328</v>
      </c>
      <c r="D208" s="45">
        <v>12000</v>
      </c>
      <c r="E208" s="45">
        <v>0</v>
      </c>
      <c r="F208" s="47">
        <f t="shared" si="0"/>
        <v>57005</v>
      </c>
      <c r="G208" s="46"/>
      <c r="H208" s="19">
        <f>Table4[[#This Row],[Credit (₹)]]-Table4[[#This Row],[Debit (₹)]]</f>
        <v>-12000</v>
      </c>
      <c r="I208" s="49" t="s">
        <v>413</v>
      </c>
      <c r="J208" s="18" t="str">
        <f>_xlfn.XLOOKUP(Table4[[#This Row],[Subcategory]],Categories[Subcategory],Categories[Category],"Add Subcategory")</f>
        <v>Accommodation &amp; Utilities</v>
      </c>
      <c r="K208" s="18" t="str">
        <f>_xlfn.XLOOKUP(Table4[[#This Row],[Subcategory]],Categories[Subcategory],Categories[Categorys Type],"Add Subcategory")</f>
        <v>Expense</v>
      </c>
    </row>
    <row r="209" spans="1:11" x14ac:dyDescent="0.3">
      <c r="A209" s="35" t="s">
        <v>284</v>
      </c>
      <c r="B209" s="36">
        <v>45903</v>
      </c>
      <c r="C209" s="37" t="s">
        <v>66</v>
      </c>
      <c r="D209" s="38">
        <v>920</v>
      </c>
      <c r="E209" s="38">
        <v>0</v>
      </c>
      <c r="F209" s="39">
        <f t="shared" si="0"/>
        <v>56085</v>
      </c>
      <c r="G209" s="40"/>
      <c r="H209" s="19">
        <f>Table4[[#This Row],[Credit (₹)]]-Table4[[#This Row],[Debit (₹)]]</f>
        <v>-920</v>
      </c>
      <c r="I209" s="49" t="s">
        <v>4</v>
      </c>
      <c r="J209" s="18" t="str">
        <f>_xlfn.XLOOKUP(Table4[[#This Row],[Subcategory]],Categories[Subcategory],Categories[Category],"Add Subcategory")</f>
        <v>Accommodation &amp; Utilities</v>
      </c>
      <c r="K209" s="18" t="str">
        <f>_xlfn.XLOOKUP(Table4[[#This Row],[Subcategory]],Categories[Subcategory],Categories[Categorys Type],"Add Subcategory")</f>
        <v>Expense</v>
      </c>
    </row>
    <row r="210" spans="1:11" x14ac:dyDescent="0.3">
      <c r="A210" s="42" t="s">
        <v>284</v>
      </c>
      <c r="B210" s="43">
        <v>45905</v>
      </c>
      <c r="C210" s="44" t="s">
        <v>329</v>
      </c>
      <c r="D210" s="45">
        <v>1750</v>
      </c>
      <c r="E210" s="45">
        <v>0</v>
      </c>
      <c r="F210" s="47">
        <f t="shared" si="0"/>
        <v>54335</v>
      </c>
      <c r="G210" s="46"/>
      <c r="H210" s="19">
        <f>Table4[[#This Row],[Credit (₹)]]-Table4[[#This Row],[Debit (₹)]]</f>
        <v>-1750</v>
      </c>
      <c r="I210" s="49" t="s">
        <v>6</v>
      </c>
      <c r="J210" s="18" t="str">
        <f>_xlfn.XLOOKUP(Table4[[#This Row],[Subcategory]],Categories[Subcategory],Categories[Category],"Add Subcategory")</f>
        <v>Food &amp; Daily Living</v>
      </c>
      <c r="K210" s="18" t="str">
        <f>_xlfn.XLOOKUP(Table4[[#This Row],[Subcategory]],Categories[Subcategory],Categories[Categorys Type],"Add Subcategory")</f>
        <v>Expense</v>
      </c>
    </row>
    <row r="211" spans="1:11" x14ac:dyDescent="0.3">
      <c r="A211" s="35" t="s">
        <v>284</v>
      </c>
      <c r="B211" s="36">
        <v>45905</v>
      </c>
      <c r="C211" s="37" t="s">
        <v>330</v>
      </c>
      <c r="D211" s="38">
        <v>3000</v>
      </c>
      <c r="E211" s="38">
        <v>0</v>
      </c>
      <c r="F211" s="39">
        <f t="shared" si="0"/>
        <v>51335</v>
      </c>
      <c r="G211" s="40" t="s">
        <v>416</v>
      </c>
      <c r="H211" s="19">
        <f>Table4[[#This Row],[Credit (₹)]]-Table4[[#This Row],[Debit (₹)]]</f>
        <v>-3000</v>
      </c>
      <c r="I211" s="50" t="s">
        <v>409</v>
      </c>
      <c r="J211" s="18" t="str">
        <f>_xlfn.XLOOKUP(Table4[[#This Row],[Subcategory]],Categories[Subcategory],Categories[Category],"Add Subcategory")</f>
        <v>Saving</v>
      </c>
      <c r="K211" s="18" t="str">
        <f>_xlfn.XLOOKUP(Table4[[#This Row],[Subcategory]],Categories[Subcategory],Categories[Categorys Type],"Add Subcategory")</f>
        <v>Expense</v>
      </c>
    </row>
    <row r="212" spans="1:11" x14ac:dyDescent="0.3">
      <c r="A212" s="42" t="s">
        <v>284</v>
      </c>
      <c r="B212" s="43">
        <v>45908</v>
      </c>
      <c r="C212" s="44" t="s">
        <v>198</v>
      </c>
      <c r="D212" s="45">
        <v>800</v>
      </c>
      <c r="E212" s="45">
        <v>0</v>
      </c>
      <c r="F212" s="47">
        <f t="shared" si="0"/>
        <v>50535</v>
      </c>
      <c r="G212" s="46"/>
      <c r="H212" s="19">
        <f>Table4[[#This Row],[Credit (₹)]]-Table4[[#This Row],[Debit (₹)]]</f>
        <v>-800</v>
      </c>
      <c r="I212" s="49" t="s">
        <v>6</v>
      </c>
      <c r="J212" s="18" t="str">
        <f>_xlfn.XLOOKUP(Table4[[#This Row],[Subcategory]],Categories[Subcategory],Categories[Category],"Add Subcategory")</f>
        <v>Food &amp; Daily Living</v>
      </c>
      <c r="K212" s="18" t="str">
        <f>_xlfn.XLOOKUP(Table4[[#This Row],[Subcategory]],Categories[Subcategory],Categories[Categorys Type],"Add Subcategory")</f>
        <v>Expense</v>
      </c>
    </row>
    <row r="213" spans="1:11" x14ac:dyDescent="0.3">
      <c r="A213" s="35" t="s">
        <v>284</v>
      </c>
      <c r="B213" s="36">
        <v>45910</v>
      </c>
      <c r="C213" s="37" t="s">
        <v>319</v>
      </c>
      <c r="D213" s="38">
        <v>699</v>
      </c>
      <c r="E213" s="38">
        <v>0</v>
      </c>
      <c r="F213" s="39">
        <f t="shared" si="0"/>
        <v>49836</v>
      </c>
      <c r="G213" s="40"/>
      <c r="H213" s="19">
        <f>Table4[[#This Row],[Credit (₹)]]-Table4[[#This Row],[Debit (₹)]]</f>
        <v>-699</v>
      </c>
      <c r="I213" s="49" t="s">
        <v>14</v>
      </c>
      <c r="J213" s="18" t="str">
        <f>_xlfn.XLOOKUP(Table4[[#This Row],[Subcategory]],Categories[Subcategory],Categories[Category],"Add Subcategory")</f>
        <v>Personal Care &amp; Lifestyle</v>
      </c>
      <c r="K213" s="18" t="str">
        <f>_xlfn.XLOOKUP(Table4[[#This Row],[Subcategory]],Categories[Subcategory],Categories[Categorys Type],"Add Subcategory")</f>
        <v>Expense</v>
      </c>
    </row>
    <row r="214" spans="1:11" x14ac:dyDescent="0.3">
      <c r="A214" s="42" t="s">
        <v>284</v>
      </c>
      <c r="B214" s="43">
        <v>45912</v>
      </c>
      <c r="C214" s="44" t="s">
        <v>331</v>
      </c>
      <c r="D214" s="45">
        <v>0</v>
      </c>
      <c r="E214" s="45">
        <v>8000</v>
      </c>
      <c r="F214" s="47">
        <f t="shared" si="0"/>
        <v>57836</v>
      </c>
      <c r="G214" s="46" t="s">
        <v>332</v>
      </c>
      <c r="H214" s="19">
        <f>Table4[[#This Row],[Credit (₹)]]-Table4[[#This Row],[Debit (₹)]]</f>
        <v>8000</v>
      </c>
      <c r="I214" s="48" t="s">
        <v>37</v>
      </c>
      <c r="J214" s="18" t="str">
        <f>_xlfn.XLOOKUP(Table4[[#This Row],[Subcategory]],Categories[Subcategory],Categories[Category],"Add Subcategory")</f>
        <v>Earnings &amp; Work Income</v>
      </c>
      <c r="K214" s="18" t="str">
        <f>_xlfn.XLOOKUP(Table4[[#This Row],[Subcategory]],Categories[Subcategory],Categories[Categorys Type],"Add Subcategory")</f>
        <v>Income</v>
      </c>
    </row>
    <row r="215" spans="1:11" x14ac:dyDescent="0.3">
      <c r="A215" s="35" t="s">
        <v>284</v>
      </c>
      <c r="B215" s="36">
        <v>45915</v>
      </c>
      <c r="C215" s="37" t="s">
        <v>333</v>
      </c>
      <c r="D215" s="38">
        <v>350</v>
      </c>
      <c r="E215" s="38">
        <v>0</v>
      </c>
      <c r="F215" s="39">
        <f t="shared" si="0"/>
        <v>57486</v>
      </c>
      <c r="G215" s="40" t="s">
        <v>334</v>
      </c>
      <c r="H215" s="19">
        <f>Table4[[#This Row],[Credit (₹)]]-Table4[[#This Row],[Debit (₹)]]</f>
        <v>-350</v>
      </c>
      <c r="I215" s="49" t="s">
        <v>16</v>
      </c>
      <c r="J215" s="18" t="str">
        <f>_xlfn.XLOOKUP(Table4[[#This Row],[Subcategory]],Categories[Subcategory],Categories[Category],"Add Subcategory")</f>
        <v>Health &amp; Medical</v>
      </c>
      <c r="K215" s="18" t="str">
        <f>_xlfn.XLOOKUP(Table4[[#This Row],[Subcategory]],Categories[Subcategory],Categories[Categorys Type],"Add Subcategory")</f>
        <v>Expense</v>
      </c>
    </row>
    <row r="216" spans="1:11" x14ac:dyDescent="0.3">
      <c r="A216" s="42" t="s">
        <v>284</v>
      </c>
      <c r="B216" s="43">
        <v>45920</v>
      </c>
      <c r="C216" s="44" t="s">
        <v>335</v>
      </c>
      <c r="D216" s="45">
        <v>900</v>
      </c>
      <c r="E216" s="45">
        <v>0</v>
      </c>
      <c r="F216" s="47">
        <f t="shared" si="0"/>
        <v>56586</v>
      </c>
      <c r="G216" s="46" t="s">
        <v>336</v>
      </c>
      <c r="H216" s="19">
        <f>Table4[[#This Row],[Credit (₹)]]-Table4[[#This Row],[Debit (₹)]]</f>
        <v>-900</v>
      </c>
      <c r="I216" s="49" t="s">
        <v>5</v>
      </c>
      <c r="J216" s="18" t="str">
        <f>_xlfn.XLOOKUP(Table4[[#This Row],[Subcategory]],Categories[Subcategory],Categories[Category],"Add Subcategory")</f>
        <v>Food &amp; Daily Living</v>
      </c>
      <c r="K216" s="18" t="str">
        <f>_xlfn.XLOOKUP(Table4[[#This Row],[Subcategory]],Categories[Subcategory],Categories[Categorys Type],"Add Subcategory")</f>
        <v>Expense</v>
      </c>
    </row>
    <row r="217" spans="1:11" x14ac:dyDescent="0.3">
      <c r="A217" s="35" t="s">
        <v>284</v>
      </c>
      <c r="B217" s="36">
        <v>45922</v>
      </c>
      <c r="C217" s="37" t="s">
        <v>122</v>
      </c>
      <c r="D217" s="38">
        <v>1200</v>
      </c>
      <c r="E217" s="38">
        <v>0</v>
      </c>
      <c r="F217" s="39">
        <f t="shared" si="0"/>
        <v>55386</v>
      </c>
      <c r="G217" s="40"/>
      <c r="H217" s="19">
        <f>Table4[[#This Row],[Credit (₹)]]-Table4[[#This Row],[Debit (₹)]]</f>
        <v>-1200</v>
      </c>
      <c r="I217" s="49" t="s">
        <v>17</v>
      </c>
      <c r="J217" s="18" t="str">
        <f>_xlfn.XLOOKUP(Table4[[#This Row],[Subcategory]],Categories[Subcategory],Categories[Category],"Add Subcategory")</f>
        <v>Personal Care &amp; Lifestyle</v>
      </c>
      <c r="K217" s="18" t="str">
        <f>_xlfn.XLOOKUP(Table4[[#This Row],[Subcategory]],Categories[Subcategory],Categories[Categorys Type],"Add Subcategory")</f>
        <v>Expense</v>
      </c>
    </row>
    <row r="218" spans="1:11" x14ac:dyDescent="0.3">
      <c r="A218" s="42" t="s">
        <v>284</v>
      </c>
      <c r="B218" s="43">
        <v>45925</v>
      </c>
      <c r="C218" s="44" t="s">
        <v>309</v>
      </c>
      <c r="D218" s="45">
        <v>5000</v>
      </c>
      <c r="E218" s="45">
        <v>0</v>
      </c>
      <c r="F218" s="47">
        <f t="shared" si="0"/>
        <v>50386</v>
      </c>
      <c r="G218" s="46"/>
      <c r="H218" s="19">
        <f>Table4[[#This Row],[Credit (₹)]]-Table4[[#This Row],[Debit (₹)]]</f>
        <v>-5000</v>
      </c>
      <c r="I218" s="49" t="s">
        <v>34</v>
      </c>
      <c r="J218" s="18" t="str">
        <f>_xlfn.XLOOKUP(Table4[[#This Row],[Subcategory]],Categories[Subcategory],Categories[Category],"Add Subcategory")</f>
        <v>Family Support &amp; Financial Aid</v>
      </c>
      <c r="K218" s="18" t="str">
        <f>_xlfn.XLOOKUP(Table4[[#This Row],[Subcategory]],Categories[Subcategory],Categories[Categorys Type],"Add Subcategory")</f>
        <v>Income</v>
      </c>
    </row>
    <row r="219" spans="1:11" x14ac:dyDescent="0.3">
      <c r="A219" s="35" t="s">
        <v>284</v>
      </c>
      <c r="B219" s="36">
        <v>45928</v>
      </c>
      <c r="C219" s="37" t="s">
        <v>311</v>
      </c>
      <c r="D219" s="38">
        <v>3500</v>
      </c>
      <c r="E219" s="38">
        <v>0</v>
      </c>
      <c r="F219" s="39">
        <f t="shared" si="0"/>
        <v>46886</v>
      </c>
      <c r="G219" s="40"/>
      <c r="H219" s="19">
        <f>Table4[[#This Row],[Credit (₹)]]-Table4[[#This Row],[Debit (₹)]]</f>
        <v>-3500</v>
      </c>
      <c r="I219" s="49" t="s">
        <v>419</v>
      </c>
      <c r="J219" s="18" t="str">
        <f>_xlfn.XLOOKUP(Table4[[#This Row],[Subcategory]],Categories[Subcategory],Categories[Category],"Add Subcategory")</f>
        <v xml:space="preserve">Finance </v>
      </c>
      <c r="K219" s="18" t="str">
        <f>_xlfn.XLOOKUP(Table4[[#This Row],[Subcategory]],Categories[Subcategory],Categories[Categorys Type],"Add Subcategory")</f>
        <v>Expense</v>
      </c>
    </row>
    <row r="220" spans="1:11" x14ac:dyDescent="0.3">
      <c r="A220" s="42" t="s">
        <v>284</v>
      </c>
      <c r="B220" s="43">
        <v>45931</v>
      </c>
      <c r="C220" s="44" t="s">
        <v>337</v>
      </c>
      <c r="D220" s="45">
        <v>0</v>
      </c>
      <c r="E220" s="45">
        <v>50000</v>
      </c>
      <c r="F220" s="47">
        <f t="shared" si="0"/>
        <v>96886</v>
      </c>
      <c r="G220" s="46" t="s">
        <v>286</v>
      </c>
      <c r="H220" s="19">
        <f>Table4[[#This Row],[Credit (₹)]]-Table4[[#This Row],[Debit (₹)]]</f>
        <v>50000</v>
      </c>
      <c r="I220" s="48" t="s">
        <v>418</v>
      </c>
      <c r="J220" s="18" t="str">
        <f>_xlfn.XLOOKUP(Table4[[#This Row],[Subcategory]],Categories[Subcategory],Categories[Category],"Add Subcategory")</f>
        <v>Salary</v>
      </c>
      <c r="K220" s="18" t="str">
        <f>_xlfn.XLOOKUP(Table4[[#This Row],[Subcategory]],Categories[Subcategory],Categories[Categorys Type],"Add Subcategory")</f>
        <v>Income</v>
      </c>
    </row>
    <row r="221" spans="1:11" x14ac:dyDescent="0.3">
      <c r="A221" s="35" t="s">
        <v>284</v>
      </c>
      <c r="B221" s="36">
        <v>45931</v>
      </c>
      <c r="C221" s="37" t="s">
        <v>287</v>
      </c>
      <c r="D221" s="38">
        <v>5000</v>
      </c>
      <c r="E221" s="38">
        <v>0</v>
      </c>
      <c r="F221" s="39">
        <f t="shared" si="0"/>
        <v>91886</v>
      </c>
      <c r="G221" s="40" t="s">
        <v>315</v>
      </c>
      <c r="H221" s="19">
        <f>Table4[[#This Row],[Credit (₹)]]-Table4[[#This Row],[Debit (₹)]]</f>
        <v>-5000</v>
      </c>
      <c r="I221" s="49" t="s">
        <v>409</v>
      </c>
      <c r="J221" s="18" t="str">
        <f>_xlfn.XLOOKUP(Table4[[#This Row],[Subcategory]],Categories[Subcategory],Categories[Category],"Add Subcategory")</f>
        <v>Saving</v>
      </c>
      <c r="K221" s="18" t="str">
        <f>_xlfn.XLOOKUP(Table4[[#This Row],[Subcategory]],Categories[Subcategory],Categories[Categorys Type],"Add Subcategory")</f>
        <v>Expense</v>
      </c>
    </row>
    <row r="222" spans="1:11" x14ac:dyDescent="0.3">
      <c r="A222" s="42" t="s">
        <v>284</v>
      </c>
      <c r="B222" s="43">
        <v>45932</v>
      </c>
      <c r="C222" s="44" t="s">
        <v>338</v>
      </c>
      <c r="D222" s="45">
        <v>12000</v>
      </c>
      <c r="E222" s="45">
        <v>0</v>
      </c>
      <c r="F222" s="47">
        <f t="shared" si="0"/>
        <v>79886</v>
      </c>
      <c r="G222" s="46"/>
      <c r="H222" s="19">
        <f>Table4[[#This Row],[Credit (₹)]]-Table4[[#This Row],[Debit (₹)]]</f>
        <v>-12000</v>
      </c>
      <c r="I222" s="49" t="s">
        <v>413</v>
      </c>
      <c r="J222" s="18" t="str">
        <f>_xlfn.XLOOKUP(Table4[[#This Row],[Subcategory]],Categories[Subcategory],Categories[Category],"Add Subcategory")</f>
        <v>Accommodation &amp; Utilities</v>
      </c>
      <c r="K222" s="18" t="str">
        <f>_xlfn.XLOOKUP(Table4[[#This Row],[Subcategory]],Categories[Subcategory],Categories[Categorys Type],"Add Subcategory")</f>
        <v>Expense</v>
      </c>
    </row>
    <row r="223" spans="1:11" x14ac:dyDescent="0.3">
      <c r="A223" s="35" t="s">
        <v>284</v>
      </c>
      <c r="B223" s="36">
        <v>45933</v>
      </c>
      <c r="C223" s="37" t="s">
        <v>66</v>
      </c>
      <c r="D223" s="38">
        <v>870</v>
      </c>
      <c r="E223" s="38">
        <v>0</v>
      </c>
      <c r="F223" s="39">
        <f t="shared" si="0"/>
        <v>79016</v>
      </c>
      <c r="G223" s="40"/>
      <c r="H223" s="19">
        <f>Table4[[#This Row],[Credit (₹)]]-Table4[[#This Row],[Debit (₹)]]</f>
        <v>-870</v>
      </c>
      <c r="I223" s="49" t="s">
        <v>4</v>
      </c>
      <c r="J223" s="18" t="str">
        <f>_xlfn.XLOOKUP(Table4[[#This Row],[Subcategory]],Categories[Subcategory],Categories[Category],"Add Subcategory")</f>
        <v>Accommodation &amp; Utilities</v>
      </c>
      <c r="K223" s="18" t="str">
        <f>_xlfn.XLOOKUP(Table4[[#This Row],[Subcategory]],Categories[Subcategory],Categories[Categorys Type],"Add Subcategory")</f>
        <v>Expense</v>
      </c>
    </row>
    <row r="224" spans="1:11" x14ac:dyDescent="0.3">
      <c r="A224" s="42" t="s">
        <v>284</v>
      </c>
      <c r="B224" s="43">
        <v>45935</v>
      </c>
      <c r="C224" s="44" t="s">
        <v>329</v>
      </c>
      <c r="D224" s="45">
        <v>1800</v>
      </c>
      <c r="E224" s="45">
        <v>0</v>
      </c>
      <c r="F224" s="47">
        <f t="shared" si="0"/>
        <v>77216</v>
      </c>
      <c r="G224" s="46"/>
      <c r="H224" s="19">
        <f>Table4[[#This Row],[Credit (₹)]]-Table4[[#This Row],[Debit (₹)]]</f>
        <v>-1800</v>
      </c>
      <c r="I224" s="49" t="s">
        <v>6</v>
      </c>
      <c r="J224" s="18" t="str">
        <f>_xlfn.XLOOKUP(Table4[[#This Row],[Subcategory]],Categories[Subcategory],Categories[Category],"Add Subcategory")</f>
        <v>Food &amp; Daily Living</v>
      </c>
      <c r="K224" s="18" t="str">
        <f>_xlfn.XLOOKUP(Table4[[#This Row],[Subcategory]],Categories[Subcategory],Categories[Categorys Type],"Add Subcategory")</f>
        <v>Expense</v>
      </c>
    </row>
    <row r="225" spans="1:11" x14ac:dyDescent="0.3">
      <c r="A225" s="35" t="s">
        <v>284</v>
      </c>
      <c r="B225" s="36">
        <v>45935</v>
      </c>
      <c r="C225" s="37" t="s">
        <v>330</v>
      </c>
      <c r="D225" s="38">
        <v>3000</v>
      </c>
      <c r="E225" s="38">
        <v>0</v>
      </c>
      <c r="F225" s="39">
        <f t="shared" si="0"/>
        <v>74216</v>
      </c>
      <c r="G225" s="40"/>
      <c r="H225" s="19">
        <f>Table4[[#This Row],[Credit (₹)]]-Table4[[#This Row],[Debit (₹)]]</f>
        <v>-3000</v>
      </c>
      <c r="I225" s="50" t="s">
        <v>409</v>
      </c>
      <c r="J225" s="18" t="str">
        <f>_xlfn.XLOOKUP(Table4[[#This Row],[Subcategory]],Categories[Subcategory],Categories[Category],"Add Subcategory")</f>
        <v>Saving</v>
      </c>
      <c r="K225" s="18" t="str">
        <f>_xlfn.XLOOKUP(Table4[[#This Row],[Subcategory]],Categories[Subcategory],Categories[Categorys Type],"Add Subcategory")</f>
        <v>Expense</v>
      </c>
    </row>
    <row r="226" spans="1:11" x14ac:dyDescent="0.3">
      <c r="A226" s="42" t="s">
        <v>284</v>
      </c>
      <c r="B226" s="43">
        <v>45938</v>
      </c>
      <c r="C226" s="44" t="s">
        <v>198</v>
      </c>
      <c r="D226" s="45">
        <v>750</v>
      </c>
      <c r="E226" s="45">
        <v>0</v>
      </c>
      <c r="F226" s="47">
        <f t="shared" si="0"/>
        <v>73466</v>
      </c>
      <c r="G226" s="46"/>
      <c r="H226" s="19">
        <f>Table4[[#This Row],[Credit (₹)]]-Table4[[#This Row],[Debit (₹)]]</f>
        <v>-750</v>
      </c>
      <c r="I226" s="49" t="s">
        <v>6</v>
      </c>
      <c r="J226" s="18" t="str">
        <f>_xlfn.XLOOKUP(Table4[[#This Row],[Subcategory]],Categories[Subcategory],Categories[Category],"Add Subcategory")</f>
        <v>Food &amp; Daily Living</v>
      </c>
      <c r="K226" s="18" t="str">
        <f>_xlfn.XLOOKUP(Table4[[#This Row],[Subcategory]],Categories[Subcategory],Categories[Categorys Type],"Add Subcategory")</f>
        <v>Expense</v>
      </c>
    </row>
    <row r="227" spans="1:11" x14ac:dyDescent="0.3">
      <c r="A227" s="35" t="s">
        <v>284</v>
      </c>
      <c r="B227" s="36">
        <v>45940</v>
      </c>
      <c r="C227" s="37" t="s">
        <v>319</v>
      </c>
      <c r="D227" s="38">
        <v>699</v>
      </c>
      <c r="E227" s="38">
        <v>0</v>
      </c>
      <c r="F227" s="39">
        <f t="shared" si="0"/>
        <v>72767</v>
      </c>
      <c r="G227" s="40"/>
      <c r="H227" s="19">
        <f>Table4[[#This Row],[Credit (₹)]]-Table4[[#This Row],[Debit (₹)]]</f>
        <v>-699</v>
      </c>
      <c r="I227" s="49" t="s">
        <v>14</v>
      </c>
      <c r="J227" s="18" t="str">
        <f>_xlfn.XLOOKUP(Table4[[#This Row],[Subcategory]],Categories[Subcategory],Categories[Category],"Add Subcategory")</f>
        <v>Personal Care &amp; Lifestyle</v>
      </c>
      <c r="K227" s="18" t="str">
        <f>_xlfn.XLOOKUP(Table4[[#This Row],[Subcategory]],Categories[Subcategory],Categories[Categorys Type],"Add Subcategory")</f>
        <v>Expense</v>
      </c>
    </row>
    <row r="228" spans="1:11" x14ac:dyDescent="0.3">
      <c r="A228" s="42" t="s">
        <v>284</v>
      </c>
      <c r="B228" s="43">
        <v>45945</v>
      </c>
      <c r="C228" s="44" t="s">
        <v>339</v>
      </c>
      <c r="D228" s="45">
        <v>3500</v>
      </c>
      <c r="E228" s="45">
        <v>0</v>
      </c>
      <c r="F228" s="47">
        <f t="shared" si="0"/>
        <v>69267</v>
      </c>
      <c r="G228" s="46" t="s">
        <v>340</v>
      </c>
      <c r="H228" s="19">
        <f>Table4[[#This Row],[Credit (₹)]]-Table4[[#This Row],[Debit (₹)]]</f>
        <v>-3500</v>
      </c>
      <c r="I228" s="49" t="s">
        <v>21</v>
      </c>
      <c r="J228" s="18" t="str">
        <f>_xlfn.XLOOKUP(Table4[[#This Row],[Subcategory]],Categories[Subcategory],Categories[Category],"Add Subcategory")</f>
        <v xml:space="preserve">Social &amp; Festival Expence </v>
      </c>
      <c r="K228" s="18" t="str">
        <f>_xlfn.XLOOKUP(Table4[[#This Row],[Subcategory]],Categories[Subcategory],Categories[Categorys Type],"Add Subcategory")</f>
        <v>Expense</v>
      </c>
    </row>
    <row r="229" spans="1:11" x14ac:dyDescent="0.3">
      <c r="A229" s="35" t="s">
        <v>284</v>
      </c>
      <c r="B229" s="36">
        <v>45948</v>
      </c>
      <c r="C229" s="37" t="s">
        <v>341</v>
      </c>
      <c r="D229" s="38">
        <v>1200</v>
      </c>
      <c r="E229" s="38">
        <v>0</v>
      </c>
      <c r="F229" s="39">
        <f t="shared" si="0"/>
        <v>68067</v>
      </c>
      <c r="G229" s="40" t="s">
        <v>342</v>
      </c>
      <c r="H229" s="19">
        <f>Table4[[#This Row],[Credit (₹)]]-Table4[[#This Row],[Debit (₹)]]</f>
        <v>-1200</v>
      </c>
      <c r="I229" s="49" t="s">
        <v>21</v>
      </c>
      <c r="J229" s="18" t="str">
        <f>_xlfn.XLOOKUP(Table4[[#This Row],[Subcategory]],Categories[Subcategory],Categories[Category],"Add Subcategory")</f>
        <v xml:space="preserve">Social &amp; Festival Expence </v>
      </c>
      <c r="K229" s="18" t="str">
        <f>_xlfn.XLOOKUP(Table4[[#This Row],[Subcategory]],Categories[Subcategory],Categories[Categorys Type],"Add Subcategory")</f>
        <v>Expense</v>
      </c>
    </row>
    <row r="230" spans="1:11" x14ac:dyDescent="0.3">
      <c r="A230" s="42" t="s">
        <v>284</v>
      </c>
      <c r="B230" s="43">
        <v>45950</v>
      </c>
      <c r="C230" s="44" t="s">
        <v>343</v>
      </c>
      <c r="D230" s="45">
        <v>800</v>
      </c>
      <c r="E230" s="45">
        <v>0</v>
      </c>
      <c r="F230" s="47">
        <f t="shared" si="0"/>
        <v>67267</v>
      </c>
      <c r="G230" s="46"/>
      <c r="H230" s="19">
        <f>Table4[[#This Row],[Credit (₹)]]-Table4[[#This Row],[Debit (₹)]]</f>
        <v>-800</v>
      </c>
      <c r="I230" s="49" t="s">
        <v>20</v>
      </c>
      <c r="J230" s="18" t="str">
        <f>_xlfn.XLOOKUP(Table4[[#This Row],[Subcategory]],Categories[Subcategory],Categories[Category],"Add Subcategory")</f>
        <v>Personal Care &amp; Lifestyle</v>
      </c>
      <c r="K230" s="18" t="str">
        <f>_xlfn.XLOOKUP(Table4[[#This Row],[Subcategory]],Categories[Subcategory],Categories[Categorys Type],"Add Subcategory")</f>
        <v>Expense</v>
      </c>
    </row>
    <row r="231" spans="1:11" x14ac:dyDescent="0.3">
      <c r="A231" s="35" t="s">
        <v>284</v>
      </c>
      <c r="B231" s="36">
        <v>45955</v>
      </c>
      <c r="C231" s="37" t="s">
        <v>309</v>
      </c>
      <c r="D231" s="38">
        <v>5000</v>
      </c>
      <c r="E231" s="38">
        <v>0</v>
      </c>
      <c r="F231" s="39">
        <f t="shared" si="0"/>
        <v>62267</v>
      </c>
      <c r="G231" s="40"/>
      <c r="H231" s="19">
        <f>Table4[[#This Row],[Credit (₹)]]-Table4[[#This Row],[Debit (₹)]]</f>
        <v>-5000</v>
      </c>
      <c r="I231" s="49" t="s">
        <v>34</v>
      </c>
      <c r="J231" s="18" t="str">
        <f>_xlfn.XLOOKUP(Table4[[#This Row],[Subcategory]],Categories[Subcategory],Categories[Category],"Add Subcategory")</f>
        <v>Family Support &amp; Financial Aid</v>
      </c>
      <c r="K231" s="18" t="str">
        <f>_xlfn.XLOOKUP(Table4[[#This Row],[Subcategory]],Categories[Subcategory],Categories[Categorys Type],"Add Subcategory")</f>
        <v>Income</v>
      </c>
    </row>
    <row r="232" spans="1:11" x14ac:dyDescent="0.3">
      <c r="A232" s="42" t="s">
        <v>284</v>
      </c>
      <c r="B232" s="43">
        <v>45958</v>
      </c>
      <c r="C232" s="44" t="s">
        <v>311</v>
      </c>
      <c r="D232" s="45">
        <v>3500</v>
      </c>
      <c r="E232" s="45">
        <v>0</v>
      </c>
      <c r="F232" s="47">
        <f t="shared" si="0"/>
        <v>58767</v>
      </c>
      <c r="G232" s="46"/>
      <c r="H232" s="19">
        <f>Table4[[#This Row],[Credit (₹)]]-Table4[[#This Row],[Debit (₹)]]</f>
        <v>-3500</v>
      </c>
      <c r="I232" s="49" t="s">
        <v>419</v>
      </c>
      <c r="J232" s="18" t="str">
        <f>_xlfn.XLOOKUP(Table4[[#This Row],[Subcategory]],Categories[Subcategory],Categories[Category],"Add Subcategory")</f>
        <v xml:space="preserve">Finance </v>
      </c>
      <c r="K232" s="18" t="str">
        <f>_xlfn.XLOOKUP(Table4[[#This Row],[Subcategory]],Categories[Subcategory],Categories[Categorys Type],"Add Subcategory")</f>
        <v>Expense</v>
      </c>
    </row>
    <row r="233" spans="1:11" x14ac:dyDescent="0.3">
      <c r="A233" s="35" t="s">
        <v>284</v>
      </c>
      <c r="B233" s="36">
        <v>45960</v>
      </c>
      <c r="C233" s="37" t="s">
        <v>344</v>
      </c>
      <c r="D233" s="38">
        <v>0</v>
      </c>
      <c r="E233" s="38">
        <v>185</v>
      </c>
      <c r="F233" s="39">
        <f t="shared" si="0"/>
        <v>58952</v>
      </c>
      <c r="G233" s="40" t="s">
        <v>345</v>
      </c>
      <c r="H233" s="19">
        <f>Table4[[#This Row],[Credit (₹)]]-Table4[[#This Row],[Debit (₹)]]</f>
        <v>185</v>
      </c>
      <c r="I233" s="48" t="s">
        <v>38</v>
      </c>
      <c r="J233" s="18" t="str">
        <f>_xlfn.XLOOKUP(Table4[[#This Row],[Subcategory]],Categories[Subcategory],Categories[Category],"Add Subcategory")</f>
        <v>Refunds &amp; Adjustments</v>
      </c>
      <c r="K233" s="18" t="str">
        <f>_xlfn.XLOOKUP(Table4[[#This Row],[Subcategory]],Categories[Subcategory],Categories[Categorys Type],"Add Subcategory")</f>
        <v>Income</v>
      </c>
    </row>
    <row r="234" spans="1:11" x14ac:dyDescent="0.3">
      <c r="A234" s="42" t="s">
        <v>284</v>
      </c>
      <c r="B234" s="43">
        <v>45962</v>
      </c>
      <c r="C234" s="44" t="s">
        <v>346</v>
      </c>
      <c r="D234" s="45">
        <v>0</v>
      </c>
      <c r="E234" s="45">
        <v>50000</v>
      </c>
      <c r="F234" s="47">
        <f t="shared" si="0"/>
        <v>108952</v>
      </c>
      <c r="G234" s="46" t="s">
        <v>286</v>
      </c>
      <c r="H234" s="19">
        <f>Table4[[#This Row],[Credit (₹)]]-Table4[[#This Row],[Debit (₹)]]</f>
        <v>50000</v>
      </c>
      <c r="I234" s="48" t="s">
        <v>418</v>
      </c>
      <c r="J234" s="18" t="str">
        <f>_xlfn.XLOOKUP(Table4[[#This Row],[Subcategory]],Categories[Subcategory],Categories[Category],"Add Subcategory")</f>
        <v>Salary</v>
      </c>
      <c r="K234" s="18" t="str">
        <f>_xlfn.XLOOKUP(Table4[[#This Row],[Subcategory]],Categories[Subcategory],Categories[Categorys Type],"Add Subcategory")</f>
        <v>Income</v>
      </c>
    </row>
    <row r="235" spans="1:11" x14ac:dyDescent="0.3">
      <c r="A235" s="35" t="s">
        <v>284</v>
      </c>
      <c r="B235" s="36">
        <v>45962</v>
      </c>
      <c r="C235" s="37" t="s">
        <v>287</v>
      </c>
      <c r="D235" s="38">
        <v>5000</v>
      </c>
      <c r="E235" s="38">
        <v>0</v>
      </c>
      <c r="F235" s="39">
        <f t="shared" si="0"/>
        <v>103952</v>
      </c>
      <c r="G235" s="40"/>
      <c r="H235" s="19">
        <f>Table4[[#This Row],[Credit (₹)]]-Table4[[#This Row],[Debit (₹)]]</f>
        <v>-5000</v>
      </c>
      <c r="I235" s="49" t="s">
        <v>409</v>
      </c>
      <c r="J235" s="18" t="str">
        <f>_xlfn.XLOOKUP(Table4[[#This Row],[Subcategory]],Categories[Subcategory],Categories[Category],"Add Subcategory")</f>
        <v>Saving</v>
      </c>
      <c r="K235" s="18" t="str">
        <f>_xlfn.XLOOKUP(Table4[[#This Row],[Subcategory]],Categories[Subcategory],Categories[Categorys Type],"Add Subcategory")</f>
        <v>Expense</v>
      </c>
    </row>
    <row r="236" spans="1:11" x14ac:dyDescent="0.3">
      <c r="A236" s="42" t="s">
        <v>284</v>
      </c>
      <c r="B236" s="43">
        <v>45963</v>
      </c>
      <c r="C236" s="44" t="s">
        <v>347</v>
      </c>
      <c r="D236" s="45">
        <v>12000</v>
      </c>
      <c r="E236" s="45">
        <v>0</v>
      </c>
      <c r="F236" s="47">
        <f t="shared" si="0"/>
        <v>91952</v>
      </c>
      <c r="G236" s="46"/>
      <c r="H236" s="19">
        <f>Table4[[#This Row],[Credit (₹)]]-Table4[[#This Row],[Debit (₹)]]</f>
        <v>-12000</v>
      </c>
      <c r="I236" s="49" t="s">
        <v>413</v>
      </c>
      <c r="J236" s="18" t="str">
        <f>_xlfn.XLOOKUP(Table4[[#This Row],[Subcategory]],Categories[Subcategory],Categories[Category],"Add Subcategory")</f>
        <v>Accommodation &amp; Utilities</v>
      </c>
      <c r="K236" s="18" t="str">
        <f>_xlfn.XLOOKUP(Table4[[#This Row],[Subcategory]],Categories[Subcategory],Categories[Categorys Type],"Add Subcategory")</f>
        <v>Expense</v>
      </c>
    </row>
    <row r="237" spans="1:11" x14ac:dyDescent="0.3">
      <c r="A237" s="35" t="s">
        <v>284</v>
      </c>
      <c r="B237" s="36">
        <v>45964</v>
      </c>
      <c r="C237" s="37" t="s">
        <v>66</v>
      </c>
      <c r="D237" s="38">
        <v>860</v>
      </c>
      <c r="E237" s="38">
        <v>0</v>
      </c>
      <c r="F237" s="39">
        <f t="shared" si="0"/>
        <v>91092</v>
      </c>
      <c r="G237" s="40"/>
      <c r="H237" s="19">
        <f>Table4[[#This Row],[Credit (₹)]]-Table4[[#This Row],[Debit (₹)]]</f>
        <v>-860</v>
      </c>
      <c r="I237" s="49" t="s">
        <v>4</v>
      </c>
      <c r="J237" s="18" t="str">
        <f>_xlfn.XLOOKUP(Table4[[#This Row],[Subcategory]],Categories[Subcategory],Categories[Category],"Add Subcategory")</f>
        <v>Accommodation &amp; Utilities</v>
      </c>
      <c r="K237" s="18" t="str">
        <f>_xlfn.XLOOKUP(Table4[[#This Row],[Subcategory]],Categories[Subcategory],Categories[Categorys Type],"Add Subcategory")</f>
        <v>Expense</v>
      </c>
    </row>
    <row r="238" spans="1:11" x14ac:dyDescent="0.3">
      <c r="A238" s="42" t="s">
        <v>284</v>
      </c>
      <c r="B238" s="43">
        <v>45966</v>
      </c>
      <c r="C238" s="44" t="s">
        <v>329</v>
      </c>
      <c r="D238" s="45">
        <v>1700</v>
      </c>
      <c r="E238" s="45">
        <v>0</v>
      </c>
      <c r="F238" s="47">
        <f t="shared" si="0"/>
        <v>89392</v>
      </c>
      <c r="G238" s="46"/>
      <c r="H238" s="19">
        <f>Table4[[#This Row],[Credit (₹)]]-Table4[[#This Row],[Debit (₹)]]</f>
        <v>-1700</v>
      </c>
      <c r="I238" s="49" t="s">
        <v>6</v>
      </c>
      <c r="J238" s="18" t="str">
        <f>_xlfn.XLOOKUP(Table4[[#This Row],[Subcategory]],Categories[Subcategory],Categories[Category],"Add Subcategory")</f>
        <v>Food &amp; Daily Living</v>
      </c>
      <c r="K238" s="18" t="str">
        <f>_xlfn.XLOOKUP(Table4[[#This Row],[Subcategory]],Categories[Subcategory],Categories[Categorys Type],"Add Subcategory")</f>
        <v>Expense</v>
      </c>
    </row>
    <row r="239" spans="1:11" x14ac:dyDescent="0.3">
      <c r="A239" s="35" t="s">
        <v>284</v>
      </c>
      <c r="B239" s="36">
        <v>45966</v>
      </c>
      <c r="C239" s="37" t="s">
        <v>330</v>
      </c>
      <c r="D239" s="38">
        <v>3000</v>
      </c>
      <c r="E239" s="38">
        <v>0</v>
      </c>
      <c r="F239" s="39">
        <f t="shared" si="0"/>
        <v>86392</v>
      </c>
      <c r="G239" s="40"/>
      <c r="H239" s="19">
        <f>Table4[[#This Row],[Credit (₹)]]-Table4[[#This Row],[Debit (₹)]]</f>
        <v>-3000</v>
      </c>
      <c r="I239" s="50" t="s">
        <v>409</v>
      </c>
      <c r="J239" s="18" t="str">
        <f>_xlfn.XLOOKUP(Table4[[#This Row],[Subcategory]],Categories[Subcategory],Categories[Category],"Add Subcategory")</f>
        <v>Saving</v>
      </c>
      <c r="K239" s="18" t="str">
        <f>_xlfn.XLOOKUP(Table4[[#This Row],[Subcategory]],Categories[Subcategory],Categories[Categorys Type],"Add Subcategory")</f>
        <v>Expense</v>
      </c>
    </row>
    <row r="240" spans="1:11" x14ac:dyDescent="0.3">
      <c r="A240" s="42" t="s">
        <v>284</v>
      </c>
      <c r="B240" s="43">
        <v>45969</v>
      </c>
      <c r="C240" s="44" t="s">
        <v>198</v>
      </c>
      <c r="D240" s="45">
        <v>900</v>
      </c>
      <c r="E240" s="45">
        <v>0</v>
      </c>
      <c r="F240" s="47">
        <f t="shared" si="0"/>
        <v>85492</v>
      </c>
      <c r="G240" s="46"/>
      <c r="H240" s="19">
        <f>Table4[[#This Row],[Credit (₹)]]-Table4[[#This Row],[Debit (₹)]]</f>
        <v>-900</v>
      </c>
      <c r="I240" s="49" t="s">
        <v>6</v>
      </c>
      <c r="J240" s="18" t="str">
        <f>_xlfn.XLOOKUP(Table4[[#This Row],[Subcategory]],Categories[Subcategory],Categories[Category],"Add Subcategory")</f>
        <v>Food &amp; Daily Living</v>
      </c>
      <c r="K240" s="18" t="str">
        <f>_xlfn.XLOOKUP(Table4[[#This Row],[Subcategory]],Categories[Subcategory],Categories[Categorys Type],"Add Subcategory")</f>
        <v>Expense</v>
      </c>
    </row>
    <row r="241" spans="1:11" x14ac:dyDescent="0.3">
      <c r="A241" s="35" t="s">
        <v>284</v>
      </c>
      <c r="B241" s="36">
        <v>45971</v>
      </c>
      <c r="C241" s="37" t="s">
        <v>319</v>
      </c>
      <c r="D241" s="38">
        <v>699</v>
      </c>
      <c r="E241" s="38">
        <v>0</v>
      </c>
      <c r="F241" s="39">
        <f t="shared" ref="F241:F304" si="1">F240+E241-D241</f>
        <v>84793</v>
      </c>
      <c r="G241" s="40"/>
      <c r="H241" s="19">
        <f>Table4[[#This Row],[Credit (₹)]]-Table4[[#This Row],[Debit (₹)]]</f>
        <v>-699</v>
      </c>
      <c r="I241" s="49" t="s">
        <v>14</v>
      </c>
      <c r="J241" s="18" t="str">
        <f>_xlfn.XLOOKUP(Table4[[#This Row],[Subcategory]],Categories[Subcategory],Categories[Category],"Add Subcategory")</f>
        <v>Personal Care &amp; Lifestyle</v>
      </c>
      <c r="K241" s="18" t="str">
        <f>_xlfn.XLOOKUP(Table4[[#This Row],[Subcategory]],Categories[Subcategory],Categories[Categorys Type],"Add Subcategory")</f>
        <v>Expense</v>
      </c>
    </row>
    <row r="242" spans="1:11" x14ac:dyDescent="0.3">
      <c r="A242" s="42" t="s">
        <v>284</v>
      </c>
      <c r="B242" s="43">
        <v>45976</v>
      </c>
      <c r="C242" s="44" t="s">
        <v>348</v>
      </c>
      <c r="D242" s="45">
        <v>2999</v>
      </c>
      <c r="E242" s="45">
        <v>0</v>
      </c>
      <c r="F242" s="47">
        <f t="shared" si="1"/>
        <v>81794</v>
      </c>
      <c r="G242" s="46" t="s">
        <v>349</v>
      </c>
      <c r="H242" s="19">
        <f>Table4[[#This Row],[Credit (₹)]]-Table4[[#This Row],[Debit (₹)]]</f>
        <v>-2999</v>
      </c>
      <c r="I242" s="49" t="s">
        <v>9</v>
      </c>
      <c r="J242" s="18" t="str">
        <f>_xlfn.XLOOKUP(Table4[[#This Row],[Subcategory]],Categories[Subcategory],Categories[Category],"Add Subcategory")</f>
        <v>Academic / Education Expenses</v>
      </c>
      <c r="K242" s="18" t="str">
        <f>_xlfn.XLOOKUP(Table4[[#This Row],[Subcategory]],Categories[Subcategory],Categories[Categorys Type],"Add Subcategory")</f>
        <v>Expense</v>
      </c>
    </row>
    <row r="243" spans="1:11" x14ac:dyDescent="0.3">
      <c r="A243" s="35" t="s">
        <v>284</v>
      </c>
      <c r="B243" s="36">
        <v>45981</v>
      </c>
      <c r="C243" s="37" t="s">
        <v>350</v>
      </c>
      <c r="D243" s="38">
        <v>700</v>
      </c>
      <c r="E243" s="38">
        <v>0</v>
      </c>
      <c r="F243" s="39">
        <f t="shared" si="1"/>
        <v>81094</v>
      </c>
      <c r="G243" s="40"/>
      <c r="H243" s="19">
        <f>Table4[[#This Row],[Credit (₹)]]-Table4[[#This Row],[Debit (₹)]]</f>
        <v>-700</v>
      </c>
      <c r="I243" s="49" t="s">
        <v>5</v>
      </c>
      <c r="J243" s="18" t="str">
        <f>_xlfn.XLOOKUP(Table4[[#This Row],[Subcategory]],Categories[Subcategory],Categories[Category],"Add Subcategory")</f>
        <v>Food &amp; Daily Living</v>
      </c>
      <c r="K243" s="18" t="str">
        <f>_xlfn.XLOOKUP(Table4[[#This Row],[Subcategory]],Categories[Subcategory],Categories[Categorys Type],"Add Subcategory")</f>
        <v>Expense</v>
      </c>
    </row>
    <row r="244" spans="1:11" x14ac:dyDescent="0.3">
      <c r="A244" s="42" t="s">
        <v>284</v>
      </c>
      <c r="B244" s="43">
        <v>45983</v>
      </c>
      <c r="C244" s="44" t="s">
        <v>351</v>
      </c>
      <c r="D244" s="45">
        <v>1200</v>
      </c>
      <c r="E244" s="45">
        <v>0</v>
      </c>
      <c r="F244" s="47">
        <f t="shared" si="1"/>
        <v>79894</v>
      </c>
      <c r="G244" s="46"/>
      <c r="H244" s="19">
        <f>Table4[[#This Row],[Credit (₹)]]-Table4[[#This Row],[Debit (₹)]]</f>
        <v>-1200</v>
      </c>
      <c r="I244" s="49" t="s">
        <v>17</v>
      </c>
      <c r="J244" s="18" t="str">
        <f>_xlfn.XLOOKUP(Table4[[#This Row],[Subcategory]],Categories[Subcategory],Categories[Category],"Add Subcategory")</f>
        <v>Personal Care &amp; Lifestyle</v>
      </c>
      <c r="K244" s="18" t="str">
        <f>_xlfn.XLOOKUP(Table4[[#This Row],[Subcategory]],Categories[Subcategory],Categories[Categorys Type],"Add Subcategory")</f>
        <v>Expense</v>
      </c>
    </row>
    <row r="245" spans="1:11" x14ac:dyDescent="0.3">
      <c r="A245" s="35" t="s">
        <v>284</v>
      </c>
      <c r="B245" s="36">
        <v>45986</v>
      </c>
      <c r="C245" s="37" t="s">
        <v>309</v>
      </c>
      <c r="D245" s="38">
        <v>5000</v>
      </c>
      <c r="E245" s="38">
        <v>0</v>
      </c>
      <c r="F245" s="39">
        <f t="shared" si="1"/>
        <v>74894</v>
      </c>
      <c r="G245" s="40"/>
      <c r="H245" s="19">
        <f>Table4[[#This Row],[Credit (₹)]]-Table4[[#This Row],[Debit (₹)]]</f>
        <v>-5000</v>
      </c>
      <c r="I245" s="49" t="s">
        <v>34</v>
      </c>
      <c r="J245" s="18" t="str">
        <f>_xlfn.XLOOKUP(Table4[[#This Row],[Subcategory]],Categories[Subcategory],Categories[Category],"Add Subcategory")</f>
        <v>Family Support &amp; Financial Aid</v>
      </c>
      <c r="K245" s="18" t="str">
        <f>_xlfn.XLOOKUP(Table4[[#This Row],[Subcategory]],Categories[Subcategory],Categories[Categorys Type],"Add Subcategory")</f>
        <v>Income</v>
      </c>
    </row>
    <row r="246" spans="1:11" x14ac:dyDescent="0.3">
      <c r="A246" s="42" t="s">
        <v>284</v>
      </c>
      <c r="B246" s="43">
        <v>45989</v>
      </c>
      <c r="C246" s="44" t="s">
        <v>311</v>
      </c>
      <c r="D246" s="45">
        <v>3500</v>
      </c>
      <c r="E246" s="45">
        <v>0</v>
      </c>
      <c r="F246" s="47">
        <f t="shared" si="1"/>
        <v>71394</v>
      </c>
      <c r="G246" s="46"/>
      <c r="H246" s="19">
        <f>Table4[[#This Row],[Credit (₹)]]-Table4[[#This Row],[Debit (₹)]]</f>
        <v>-3500</v>
      </c>
      <c r="I246" s="49" t="s">
        <v>419</v>
      </c>
      <c r="J246" s="18" t="str">
        <f>_xlfn.XLOOKUP(Table4[[#This Row],[Subcategory]],Categories[Subcategory],Categories[Category],"Add Subcategory")</f>
        <v xml:space="preserve">Finance </v>
      </c>
      <c r="K246" s="18" t="str">
        <f>_xlfn.XLOOKUP(Table4[[#This Row],[Subcategory]],Categories[Subcategory],Categories[Categorys Type],"Add Subcategory")</f>
        <v>Expense</v>
      </c>
    </row>
    <row r="247" spans="1:11" x14ac:dyDescent="0.3">
      <c r="A247" s="35" t="s">
        <v>284</v>
      </c>
      <c r="B247" s="36">
        <v>45992</v>
      </c>
      <c r="C247" s="37" t="s">
        <v>352</v>
      </c>
      <c r="D247" s="38">
        <v>0</v>
      </c>
      <c r="E247" s="38">
        <v>50000</v>
      </c>
      <c r="F247" s="39">
        <f t="shared" si="1"/>
        <v>121394</v>
      </c>
      <c r="G247" s="40" t="s">
        <v>286</v>
      </c>
      <c r="H247" s="19">
        <f>Table4[[#This Row],[Credit (₹)]]-Table4[[#This Row],[Debit (₹)]]</f>
        <v>50000</v>
      </c>
      <c r="I247" s="48" t="s">
        <v>418</v>
      </c>
      <c r="J247" s="18" t="str">
        <f>_xlfn.XLOOKUP(Table4[[#This Row],[Subcategory]],Categories[Subcategory],Categories[Category],"Add Subcategory")</f>
        <v>Salary</v>
      </c>
      <c r="K247" s="18" t="str">
        <f>_xlfn.XLOOKUP(Table4[[#This Row],[Subcategory]],Categories[Subcategory],Categories[Categorys Type],"Add Subcategory")</f>
        <v>Income</v>
      </c>
    </row>
    <row r="248" spans="1:11" x14ac:dyDescent="0.3">
      <c r="A248" s="42" t="s">
        <v>284</v>
      </c>
      <c r="B248" s="43">
        <v>45992</v>
      </c>
      <c r="C248" s="44" t="s">
        <v>287</v>
      </c>
      <c r="D248" s="45">
        <v>5000</v>
      </c>
      <c r="E248" s="45">
        <v>0</v>
      </c>
      <c r="F248" s="47">
        <f t="shared" si="1"/>
        <v>116394</v>
      </c>
      <c r="G248" s="46"/>
      <c r="H248" s="19">
        <f>Table4[[#This Row],[Credit (₹)]]-Table4[[#This Row],[Debit (₹)]]</f>
        <v>-5000</v>
      </c>
      <c r="I248" s="49" t="s">
        <v>409</v>
      </c>
      <c r="J248" s="18" t="str">
        <f>_xlfn.XLOOKUP(Table4[[#This Row],[Subcategory]],Categories[Subcategory],Categories[Category],"Add Subcategory")</f>
        <v>Saving</v>
      </c>
      <c r="K248" s="18" t="str">
        <f>_xlfn.XLOOKUP(Table4[[#This Row],[Subcategory]],Categories[Subcategory],Categories[Categorys Type],"Add Subcategory")</f>
        <v>Expense</v>
      </c>
    </row>
    <row r="249" spans="1:11" x14ac:dyDescent="0.3">
      <c r="A249" s="35" t="s">
        <v>284</v>
      </c>
      <c r="B249" s="36">
        <v>45993</v>
      </c>
      <c r="C249" s="37" t="s">
        <v>353</v>
      </c>
      <c r="D249" s="38">
        <v>12000</v>
      </c>
      <c r="E249" s="38">
        <v>0</v>
      </c>
      <c r="F249" s="39">
        <f t="shared" si="1"/>
        <v>104394</v>
      </c>
      <c r="G249" s="40"/>
      <c r="H249" s="19">
        <f>Table4[[#This Row],[Credit (₹)]]-Table4[[#This Row],[Debit (₹)]]</f>
        <v>-12000</v>
      </c>
      <c r="I249" s="49" t="s">
        <v>413</v>
      </c>
      <c r="J249" s="18" t="str">
        <f>_xlfn.XLOOKUP(Table4[[#This Row],[Subcategory]],Categories[Subcategory],Categories[Category],"Add Subcategory")</f>
        <v>Accommodation &amp; Utilities</v>
      </c>
      <c r="K249" s="18" t="str">
        <f>_xlfn.XLOOKUP(Table4[[#This Row],[Subcategory]],Categories[Subcategory],Categories[Categorys Type],"Add Subcategory")</f>
        <v>Expense</v>
      </c>
    </row>
    <row r="250" spans="1:11" x14ac:dyDescent="0.3">
      <c r="A250" s="42" t="s">
        <v>284</v>
      </c>
      <c r="B250" s="43">
        <v>45994</v>
      </c>
      <c r="C250" s="44" t="s">
        <v>66</v>
      </c>
      <c r="D250" s="45">
        <v>950</v>
      </c>
      <c r="E250" s="45">
        <v>0</v>
      </c>
      <c r="F250" s="47">
        <f t="shared" si="1"/>
        <v>103444</v>
      </c>
      <c r="G250" s="46" t="s">
        <v>354</v>
      </c>
      <c r="H250" s="19">
        <f>Table4[[#This Row],[Credit (₹)]]-Table4[[#This Row],[Debit (₹)]]</f>
        <v>-950</v>
      </c>
      <c r="I250" s="49" t="s">
        <v>4</v>
      </c>
      <c r="J250" s="18" t="str">
        <f>_xlfn.XLOOKUP(Table4[[#This Row],[Subcategory]],Categories[Subcategory],Categories[Category],"Add Subcategory")</f>
        <v>Accommodation &amp; Utilities</v>
      </c>
      <c r="K250" s="18" t="str">
        <f>_xlfn.XLOOKUP(Table4[[#This Row],[Subcategory]],Categories[Subcategory],Categories[Categorys Type],"Add Subcategory")</f>
        <v>Expense</v>
      </c>
    </row>
    <row r="251" spans="1:11" x14ac:dyDescent="0.3">
      <c r="A251" s="35" t="s">
        <v>284</v>
      </c>
      <c r="B251" s="36">
        <v>45996</v>
      </c>
      <c r="C251" s="37" t="s">
        <v>329</v>
      </c>
      <c r="D251" s="38">
        <v>1850</v>
      </c>
      <c r="E251" s="38">
        <v>0</v>
      </c>
      <c r="F251" s="39">
        <f t="shared" si="1"/>
        <v>101594</v>
      </c>
      <c r="G251" s="40"/>
      <c r="H251" s="19">
        <f>Table4[[#This Row],[Credit (₹)]]-Table4[[#This Row],[Debit (₹)]]</f>
        <v>-1850</v>
      </c>
      <c r="I251" s="49" t="s">
        <v>6</v>
      </c>
      <c r="J251" s="18" t="str">
        <f>_xlfn.XLOOKUP(Table4[[#This Row],[Subcategory]],Categories[Subcategory],Categories[Category],"Add Subcategory")</f>
        <v>Food &amp; Daily Living</v>
      </c>
      <c r="K251" s="18" t="str">
        <f>_xlfn.XLOOKUP(Table4[[#This Row],[Subcategory]],Categories[Subcategory],Categories[Categorys Type],"Add Subcategory")</f>
        <v>Expense</v>
      </c>
    </row>
    <row r="252" spans="1:11" x14ac:dyDescent="0.3">
      <c r="A252" s="42" t="s">
        <v>284</v>
      </c>
      <c r="B252" s="43">
        <v>45996</v>
      </c>
      <c r="C252" s="44" t="s">
        <v>330</v>
      </c>
      <c r="D252" s="45">
        <v>3000</v>
      </c>
      <c r="E252" s="45">
        <v>0</v>
      </c>
      <c r="F252" s="47">
        <f t="shared" si="1"/>
        <v>98594</v>
      </c>
      <c r="G252" s="46"/>
      <c r="H252" s="19">
        <f>Table4[[#This Row],[Credit (₹)]]-Table4[[#This Row],[Debit (₹)]]</f>
        <v>-3000</v>
      </c>
      <c r="I252" s="50" t="s">
        <v>409</v>
      </c>
      <c r="J252" s="18" t="str">
        <f>_xlfn.XLOOKUP(Table4[[#This Row],[Subcategory]],Categories[Subcategory],Categories[Category],"Add Subcategory")</f>
        <v>Saving</v>
      </c>
      <c r="K252" s="18" t="str">
        <f>_xlfn.XLOOKUP(Table4[[#This Row],[Subcategory]],Categories[Subcategory],Categories[Categorys Type],"Add Subcategory")</f>
        <v>Expense</v>
      </c>
    </row>
    <row r="253" spans="1:11" x14ac:dyDescent="0.3">
      <c r="A253" s="35" t="s">
        <v>284</v>
      </c>
      <c r="B253" s="36">
        <v>45999</v>
      </c>
      <c r="C253" s="37" t="s">
        <v>198</v>
      </c>
      <c r="D253" s="38">
        <v>850</v>
      </c>
      <c r="E253" s="38">
        <v>0</v>
      </c>
      <c r="F253" s="39">
        <f t="shared" si="1"/>
        <v>97744</v>
      </c>
      <c r="G253" s="40"/>
      <c r="H253" s="19">
        <f>Table4[[#This Row],[Credit (₹)]]-Table4[[#This Row],[Debit (₹)]]</f>
        <v>-850</v>
      </c>
      <c r="I253" s="49" t="s">
        <v>6</v>
      </c>
      <c r="J253" s="18" t="str">
        <f>_xlfn.XLOOKUP(Table4[[#This Row],[Subcategory]],Categories[Subcategory],Categories[Category],"Add Subcategory")</f>
        <v>Food &amp; Daily Living</v>
      </c>
      <c r="K253" s="18" t="str">
        <f>_xlfn.XLOOKUP(Table4[[#This Row],[Subcategory]],Categories[Subcategory],Categories[Categorys Type],"Add Subcategory")</f>
        <v>Expense</v>
      </c>
    </row>
    <row r="254" spans="1:11" x14ac:dyDescent="0.3">
      <c r="A254" s="42" t="s">
        <v>284</v>
      </c>
      <c r="B254" s="43">
        <v>46001</v>
      </c>
      <c r="C254" s="44" t="s">
        <v>319</v>
      </c>
      <c r="D254" s="45">
        <v>699</v>
      </c>
      <c r="E254" s="45">
        <v>0</v>
      </c>
      <c r="F254" s="47">
        <f t="shared" si="1"/>
        <v>97045</v>
      </c>
      <c r="G254" s="46"/>
      <c r="H254" s="19">
        <f>Table4[[#This Row],[Credit (₹)]]-Table4[[#This Row],[Debit (₹)]]</f>
        <v>-699</v>
      </c>
      <c r="I254" s="49" t="s">
        <v>14</v>
      </c>
      <c r="J254" s="18" t="str">
        <f>_xlfn.XLOOKUP(Table4[[#This Row],[Subcategory]],Categories[Subcategory],Categories[Category],"Add Subcategory")</f>
        <v>Personal Care &amp; Lifestyle</v>
      </c>
      <c r="K254" s="18" t="str">
        <f>_xlfn.XLOOKUP(Table4[[#This Row],[Subcategory]],Categories[Subcategory],Categories[Categorys Type],"Add Subcategory")</f>
        <v>Expense</v>
      </c>
    </row>
    <row r="255" spans="1:11" x14ac:dyDescent="0.3">
      <c r="A255" s="35" t="s">
        <v>284</v>
      </c>
      <c r="B255" s="36">
        <v>46006</v>
      </c>
      <c r="C255" s="37" t="s">
        <v>355</v>
      </c>
      <c r="D255" s="38">
        <v>0</v>
      </c>
      <c r="E255" s="38">
        <v>25000</v>
      </c>
      <c r="F255" s="39">
        <f t="shared" si="1"/>
        <v>122045</v>
      </c>
      <c r="G255" s="40" t="s">
        <v>356</v>
      </c>
      <c r="H255" s="19">
        <f>Table4[[#This Row],[Credit (₹)]]-Table4[[#This Row],[Debit (₹)]]</f>
        <v>25000</v>
      </c>
      <c r="I255" s="48" t="s">
        <v>418</v>
      </c>
      <c r="J255" s="18" t="str">
        <f>_xlfn.XLOOKUP(Table4[[#This Row],[Subcategory]],Categories[Subcategory],Categories[Category],"Add Subcategory")</f>
        <v>Salary</v>
      </c>
      <c r="K255" s="18" t="str">
        <f>_xlfn.XLOOKUP(Table4[[#This Row],[Subcategory]],Categories[Subcategory],Categories[Categorys Type],"Add Subcategory")</f>
        <v>Income</v>
      </c>
    </row>
    <row r="256" spans="1:11" x14ac:dyDescent="0.3">
      <c r="A256" s="42" t="s">
        <v>284</v>
      </c>
      <c r="B256" s="43">
        <v>46009</v>
      </c>
      <c r="C256" s="44" t="s">
        <v>357</v>
      </c>
      <c r="D256" s="45">
        <v>3800</v>
      </c>
      <c r="E256" s="45">
        <v>0</v>
      </c>
      <c r="F256" s="47">
        <f t="shared" si="1"/>
        <v>118245</v>
      </c>
      <c r="G256" s="46" t="s">
        <v>358</v>
      </c>
      <c r="H256" s="19">
        <f>Table4[[#This Row],[Credit (₹)]]-Table4[[#This Row],[Debit (₹)]]</f>
        <v>-3800</v>
      </c>
      <c r="I256" s="49" t="s">
        <v>410</v>
      </c>
      <c r="J256" s="18" t="str">
        <f>_xlfn.XLOOKUP(Table4[[#This Row],[Subcategory]],Categories[Subcategory],Categories[Category],"Add Subcategory")</f>
        <v>Transport &amp; Travel</v>
      </c>
      <c r="K256" s="18" t="str">
        <f>_xlfn.XLOOKUP(Table4[[#This Row],[Subcategory]],Categories[Subcategory],Categories[Categorys Type],"Add Subcategory")</f>
        <v>Expense</v>
      </c>
    </row>
    <row r="257" spans="1:11" x14ac:dyDescent="0.3">
      <c r="A257" s="35" t="s">
        <v>284</v>
      </c>
      <c r="B257" s="36">
        <v>46011</v>
      </c>
      <c r="C257" s="37" t="s">
        <v>359</v>
      </c>
      <c r="D257" s="38">
        <v>2500</v>
      </c>
      <c r="E257" s="38">
        <v>0</v>
      </c>
      <c r="F257" s="39">
        <f t="shared" si="1"/>
        <v>115745</v>
      </c>
      <c r="G257" s="40"/>
      <c r="H257" s="19">
        <f>Table4[[#This Row],[Credit (₹)]]-Table4[[#This Row],[Debit (₹)]]</f>
        <v>-2500</v>
      </c>
      <c r="I257" s="49" t="s">
        <v>12</v>
      </c>
      <c r="J257" s="18" t="str">
        <f>_xlfn.XLOOKUP(Table4[[#This Row],[Subcategory]],Categories[Subcategory],Categories[Category],"Add Subcategory")</f>
        <v>Personal Care &amp; Lifestyle</v>
      </c>
      <c r="K257" s="18" t="str">
        <f>_xlfn.XLOOKUP(Table4[[#This Row],[Subcategory]],Categories[Subcategory],Categories[Categorys Type],"Add Subcategory")</f>
        <v>Expense</v>
      </c>
    </row>
    <row r="258" spans="1:11" x14ac:dyDescent="0.3">
      <c r="A258" s="42" t="s">
        <v>284</v>
      </c>
      <c r="B258" s="43">
        <v>46016</v>
      </c>
      <c r="C258" s="44" t="s">
        <v>360</v>
      </c>
      <c r="D258" s="45">
        <v>5000</v>
      </c>
      <c r="E258" s="45">
        <v>0</v>
      </c>
      <c r="F258" s="47">
        <f t="shared" si="1"/>
        <v>110745</v>
      </c>
      <c r="G258" s="46" t="s">
        <v>361</v>
      </c>
      <c r="H258" s="19">
        <f>Table4[[#This Row],[Credit (₹)]]-Table4[[#This Row],[Debit (₹)]]</f>
        <v>-5000</v>
      </c>
      <c r="I258" s="49" t="s">
        <v>409</v>
      </c>
      <c r="J258" s="18" t="str">
        <f>_xlfn.XLOOKUP(Table4[[#This Row],[Subcategory]],Categories[Subcategory],Categories[Category],"Add Subcategory")</f>
        <v>Saving</v>
      </c>
      <c r="K258" s="18" t="str">
        <f>_xlfn.XLOOKUP(Table4[[#This Row],[Subcategory]],Categories[Subcategory],Categories[Categorys Type],"Add Subcategory")</f>
        <v>Expense</v>
      </c>
    </row>
    <row r="259" spans="1:11" x14ac:dyDescent="0.3">
      <c r="A259" s="35" t="s">
        <v>284</v>
      </c>
      <c r="B259" s="36">
        <v>46019</v>
      </c>
      <c r="C259" s="37" t="s">
        <v>311</v>
      </c>
      <c r="D259" s="38">
        <v>3500</v>
      </c>
      <c r="E259" s="38">
        <v>0</v>
      </c>
      <c r="F259" s="39">
        <f t="shared" si="1"/>
        <v>107245</v>
      </c>
      <c r="G259" s="40"/>
      <c r="H259" s="19">
        <f>Table4[[#This Row],[Credit (₹)]]-Table4[[#This Row],[Debit (₹)]]</f>
        <v>-3500</v>
      </c>
      <c r="I259" s="49" t="s">
        <v>419</v>
      </c>
      <c r="J259" s="18" t="str">
        <f>_xlfn.XLOOKUP(Table4[[#This Row],[Subcategory]],Categories[Subcategory],Categories[Category],"Add Subcategory")</f>
        <v xml:space="preserve">Finance </v>
      </c>
      <c r="K259" s="18" t="str">
        <f>_xlfn.XLOOKUP(Table4[[#This Row],[Subcategory]],Categories[Subcategory],Categories[Categorys Type],"Add Subcategory")</f>
        <v>Expense</v>
      </c>
    </row>
    <row r="260" spans="1:11" x14ac:dyDescent="0.3">
      <c r="A260" s="42" t="s">
        <v>284</v>
      </c>
      <c r="B260" s="43">
        <v>46023</v>
      </c>
      <c r="C260" s="44" t="s">
        <v>362</v>
      </c>
      <c r="D260" s="45">
        <v>0</v>
      </c>
      <c r="E260" s="45">
        <v>50000</v>
      </c>
      <c r="F260" s="47">
        <f t="shared" si="1"/>
        <v>157245</v>
      </c>
      <c r="G260" s="46" t="s">
        <v>286</v>
      </c>
      <c r="H260" s="19">
        <f>Table4[[#This Row],[Credit (₹)]]-Table4[[#This Row],[Debit (₹)]]</f>
        <v>50000</v>
      </c>
      <c r="I260" s="48" t="s">
        <v>418</v>
      </c>
      <c r="J260" s="18" t="str">
        <f>_xlfn.XLOOKUP(Table4[[#This Row],[Subcategory]],Categories[Subcategory],Categories[Category],"Add Subcategory")</f>
        <v>Salary</v>
      </c>
      <c r="K260" s="18" t="str">
        <f>_xlfn.XLOOKUP(Table4[[#This Row],[Subcategory]],Categories[Subcategory],Categories[Categorys Type],"Add Subcategory")</f>
        <v>Income</v>
      </c>
    </row>
    <row r="261" spans="1:11" x14ac:dyDescent="0.3">
      <c r="A261" s="35" t="s">
        <v>284</v>
      </c>
      <c r="B261" s="36">
        <v>46023</v>
      </c>
      <c r="C261" s="37" t="s">
        <v>287</v>
      </c>
      <c r="D261" s="38">
        <v>5000</v>
      </c>
      <c r="E261" s="38">
        <v>0</v>
      </c>
      <c r="F261" s="39">
        <f t="shared" si="1"/>
        <v>152245</v>
      </c>
      <c r="G261" s="40"/>
      <c r="H261" s="19">
        <f>Table4[[#This Row],[Credit (₹)]]-Table4[[#This Row],[Debit (₹)]]</f>
        <v>-5000</v>
      </c>
      <c r="I261" s="49" t="s">
        <v>409</v>
      </c>
      <c r="J261" s="18" t="str">
        <f>_xlfn.XLOOKUP(Table4[[#This Row],[Subcategory]],Categories[Subcategory],Categories[Category],"Add Subcategory")</f>
        <v>Saving</v>
      </c>
      <c r="K261" s="18" t="str">
        <f>_xlfn.XLOOKUP(Table4[[#This Row],[Subcategory]],Categories[Subcategory],Categories[Categorys Type],"Add Subcategory")</f>
        <v>Expense</v>
      </c>
    </row>
    <row r="262" spans="1:11" x14ac:dyDescent="0.3">
      <c r="A262" s="42" t="s">
        <v>284</v>
      </c>
      <c r="B262" s="43">
        <v>46024</v>
      </c>
      <c r="C262" s="44" t="s">
        <v>363</v>
      </c>
      <c r="D262" s="45">
        <v>12000</v>
      </c>
      <c r="E262" s="45">
        <v>0</v>
      </c>
      <c r="F262" s="47">
        <f t="shared" si="1"/>
        <v>140245</v>
      </c>
      <c r="G262" s="46"/>
      <c r="H262" s="19">
        <f>Table4[[#This Row],[Credit (₹)]]-Table4[[#This Row],[Debit (₹)]]</f>
        <v>-12000</v>
      </c>
      <c r="I262" s="49" t="s">
        <v>413</v>
      </c>
      <c r="J262" s="18" t="str">
        <f>_xlfn.XLOOKUP(Table4[[#This Row],[Subcategory]],Categories[Subcategory],Categories[Category],"Add Subcategory")</f>
        <v>Accommodation &amp; Utilities</v>
      </c>
      <c r="K262" s="18" t="str">
        <f>_xlfn.XLOOKUP(Table4[[#This Row],[Subcategory]],Categories[Subcategory],Categories[Categorys Type],"Add Subcategory")</f>
        <v>Expense</v>
      </c>
    </row>
    <row r="263" spans="1:11" x14ac:dyDescent="0.3">
      <c r="A263" s="35" t="s">
        <v>284</v>
      </c>
      <c r="B263" s="36">
        <v>46025</v>
      </c>
      <c r="C263" s="37" t="s">
        <v>66</v>
      </c>
      <c r="D263" s="38">
        <v>930</v>
      </c>
      <c r="E263" s="38">
        <v>0</v>
      </c>
      <c r="F263" s="39">
        <f t="shared" si="1"/>
        <v>139315</v>
      </c>
      <c r="G263" s="40"/>
      <c r="H263" s="19">
        <f>Table4[[#This Row],[Credit (₹)]]-Table4[[#This Row],[Debit (₹)]]</f>
        <v>-930</v>
      </c>
      <c r="I263" s="49" t="s">
        <v>4</v>
      </c>
      <c r="J263" s="18" t="str">
        <f>_xlfn.XLOOKUP(Table4[[#This Row],[Subcategory]],Categories[Subcategory],Categories[Category],"Add Subcategory")</f>
        <v>Accommodation &amp; Utilities</v>
      </c>
      <c r="K263" s="18" t="str">
        <f>_xlfn.XLOOKUP(Table4[[#This Row],[Subcategory]],Categories[Subcategory],Categories[Categorys Type],"Add Subcategory")</f>
        <v>Expense</v>
      </c>
    </row>
    <row r="264" spans="1:11" x14ac:dyDescent="0.3">
      <c r="A264" s="42" t="s">
        <v>284</v>
      </c>
      <c r="B264" s="43">
        <v>46027</v>
      </c>
      <c r="C264" s="44" t="s">
        <v>329</v>
      </c>
      <c r="D264" s="45">
        <v>1750</v>
      </c>
      <c r="E264" s="45">
        <v>0</v>
      </c>
      <c r="F264" s="47">
        <f t="shared" si="1"/>
        <v>137565</v>
      </c>
      <c r="G264" s="46"/>
      <c r="H264" s="19">
        <f>Table4[[#This Row],[Credit (₹)]]-Table4[[#This Row],[Debit (₹)]]</f>
        <v>-1750</v>
      </c>
      <c r="I264" s="49" t="s">
        <v>6</v>
      </c>
      <c r="J264" s="18" t="str">
        <f>_xlfn.XLOOKUP(Table4[[#This Row],[Subcategory]],Categories[Subcategory],Categories[Category],"Add Subcategory")</f>
        <v>Food &amp; Daily Living</v>
      </c>
      <c r="K264" s="18" t="str">
        <f>_xlfn.XLOOKUP(Table4[[#This Row],[Subcategory]],Categories[Subcategory],Categories[Categorys Type],"Add Subcategory")</f>
        <v>Expense</v>
      </c>
    </row>
    <row r="265" spans="1:11" x14ac:dyDescent="0.3">
      <c r="A265" s="35" t="s">
        <v>284</v>
      </c>
      <c r="B265" s="36">
        <v>46027</v>
      </c>
      <c r="C265" s="37" t="s">
        <v>330</v>
      </c>
      <c r="D265" s="38">
        <v>3000</v>
      </c>
      <c r="E265" s="38">
        <v>0</v>
      </c>
      <c r="F265" s="39">
        <f t="shared" si="1"/>
        <v>134565</v>
      </c>
      <c r="G265" s="40"/>
      <c r="H265" s="19">
        <f>Table4[[#This Row],[Credit (₹)]]-Table4[[#This Row],[Debit (₹)]]</f>
        <v>-3000</v>
      </c>
      <c r="I265" s="50" t="s">
        <v>409</v>
      </c>
      <c r="J265" s="18" t="str">
        <f>_xlfn.XLOOKUP(Table4[[#This Row],[Subcategory]],Categories[Subcategory],Categories[Category],"Add Subcategory")</f>
        <v>Saving</v>
      </c>
      <c r="K265" s="18" t="str">
        <f>_xlfn.XLOOKUP(Table4[[#This Row],[Subcategory]],Categories[Subcategory],Categories[Categorys Type],"Add Subcategory")</f>
        <v>Expense</v>
      </c>
    </row>
    <row r="266" spans="1:11" x14ac:dyDescent="0.3">
      <c r="A266" s="42" t="s">
        <v>284</v>
      </c>
      <c r="B266" s="43">
        <v>46030</v>
      </c>
      <c r="C266" s="44" t="s">
        <v>198</v>
      </c>
      <c r="D266" s="45">
        <v>900</v>
      </c>
      <c r="E266" s="45">
        <v>0</v>
      </c>
      <c r="F266" s="47">
        <f t="shared" si="1"/>
        <v>133665</v>
      </c>
      <c r="G266" s="46"/>
      <c r="H266" s="19">
        <f>Table4[[#This Row],[Credit (₹)]]-Table4[[#This Row],[Debit (₹)]]</f>
        <v>-900</v>
      </c>
      <c r="I266" s="49" t="s">
        <v>6</v>
      </c>
      <c r="J266" s="18" t="str">
        <f>_xlfn.XLOOKUP(Table4[[#This Row],[Subcategory]],Categories[Subcategory],Categories[Category],"Add Subcategory")</f>
        <v>Food &amp; Daily Living</v>
      </c>
      <c r="K266" s="18" t="str">
        <f>_xlfn.XLOOKUP(Table4[[#This Row],[Subcategory]],Categories[Subcategory],Categories[Categorys Type],"Add Subcategory")</f>
        <v>Expense</v>
      </c>
    </row>
    <row r="267" spans="1:11" x14ac:dyDescent="0.3">
      <c r="A267" s="35" t="s">
        <v>284</v>
      </c>
      <c r="B267" s="36">
        <v>46032</v>
      </c>
      <c r="C267" s="37" t="s">
        <v>319</v>
      </c>
      <c r="D267" s="38">
        <v>699</v>
      </c>
      <c r="E267" s="38">
        <v>0</v>
      </c>
      <c r="F267" s="39">
        <f t="shared" si="1"/>
        <v>132966</v>
      </c>
      <c r="G267" s="40"/>
      <c r="H267" s="19">
        <f>Table4[[#This Row],[Credit (₹)]]-Table4[[#This Row],[Debit (₹)]]</f>
        <v>-699</v>
      </c>
      <c r="I267" s="49" t="s">
        <v>14</v>
      </c>
      <c r="J267" s="18" t="str">
        <f>_xlfn.XLOOKUP(Table4[[#This Row],[Subcategory]],Categories[Subcategory],Categories[Category],"Add Subcategory")</f>
        <v>Personal Care &amp; Lifestyle</v>
      </c>
      <c r="K267" s="18" t="str">
        <f>_xlfn.XLOOKUP(Table4[[#This Row],[Subcategory]],Categories[Subcategory],Categories[Categorys Type],"Add Subcategory")</f>
        <v>Expense</v>
      </c>
    </row>
    <row r="268" spans="1:11" x14ac:dyDescent="0.3">
      <c r="A268" s="42" t="s">
        <v>284</v>
      </c>
      <c r="B268" s="43">
        <v>46034</v>
      </c>
      <c r="C268" s="44" t="s">
        <v>364</v>
      </c>
      <c r="D268" s="45">
        <v>2000</v>
      </c>
      <c r="E268" s="45">
        <v>0</v>
      </c>
      <c r="F268" s="47">
        <f t="shared" si="1"/>
        <v>130966</v>
      </c>
      <c r="G268" s="46" t="s">
        <v>365</v>
      </c>
      <c r="H268" s="19">
        <f>Table4[[#This Row],[Credit (₹)]]-Table4[[#This Row],[Debit (₹)]]</f>
        <v>-2000</v>
      </c>
      <c r="I268" s="49" t="s">
        <v>409</v>
      </c>
      <c r="J268" s="18" t="str">
        <f>_xlfn.XLOOKUP(Table4[[#This Row],[Subcategory]],Categories[Subcategory],Categories[Category],"Add Subcategory")</f>
        <v>Saving</v>
      </c>
      <c r="K268" s="18" t="str">
        <f>_xlfn.XLOOKUP(Table4[[#This Row],[Subcategory]],Categories[Subcategory],Categories[Categorys Type],"Add Subcategory")</f>
        <v>Expense</v>
      </c>
    </row>
    <row r="269" spans="1:11" x14ac:dyDescent="0.3">
      <c r="A269" s="35" t="s">
        <v>284</v>
      </c>
      <c r="B269" s="36">
        <v>46037</v>
      </c>
      <c r="C269" s="37" t="s">
        <v>366</v>
      </c>
      <c r="D269" s="38">
        <v>2000</v>
      </c>
      <c r="E269" s="38">
        <v>0</v>
      </c>
      <c r="F269" s="39">
        <f t="shared" si="1"/>
        <v>128966</v>
      </c>
      <c r="G269" s="40" t="s">
        <v>367</v>
      </c>
      <c r="H269" s="19">
        <f>Table4[[#This Row],[Credit (₹)]]-Table4[[#This Row],[Debit (₹)]]</f>
        <v>-2000</v>
      </c>
      <c r="I269" s="49" t="s">
        <v>419</v>
      </c>
      <c r="J269" s="18" t="str">
        <f>_xlfn.XLOOKUP(Table4[[#This Row],[Subcategory]],Categories[Subcategory],Categories[Category],"Add Subcategory")</f>
        <v xml:space="preserve">Finance </v>
      </c>
      <c r="K269" s="18" t="str">
        <f>_xlfn.XLOOKUP(Table4[[#This Row],[Subcategory]],Categories[Subcategory],Categories[Categorys Type],"Add Subcategory")</f>
        <v>Expense</v>
      </c>
    </row>
    <row r="270" spans="1:11" x14ac:dyDescent="0.3">
      <c r="A270" s="42" t="s">
        <v>284</v>
      </c>
      <c r="B270" s="43">
        <v>46042</v>
      </c>
      <c r="C270" s="44" t="s">
        <v>368</v>
      </c>
      <c r="D270" s="45">
        <v>799</v>
      </c>
      <c r="E270" s="45">
        <v>0</v>
      </c>
      <c r="F270" s="47">
        <f t="shared" si="1"/>
        <v>128167</v>
      </c>
      <c r="G270" s="46" t="s">
        <v>369</v>
      </c>
      <c r="H270" s="19">
        <f>Table4[[#This Row],[Credit (₹)]]-Table4[[#This Row],[Debit (₹)]]</f>
        <v>-799</v>
      </c>
      <c r="I270" s="49" t="s">
        <v>7</v>
      </c>
      <c r="J270" s="18" t="str">
        <f>_xlfn.XLOOKUP(Table4[[#This Row],[Subcategory]],Categories[Subcategory],Categories[Category],"Add Subcategory")</f>
        <v>Academic / Education Expenses</v>
      </c>
      <c r="K270" s="18" t="str">
        <f>_xlfn.XLOOKUP(Table4[[#This Row],[Subcategory]],Categories[Subcategory],Categories[Categorys Type],"Add Subcategory")</f>
        <v>Expense</v>
      </c>
    </row>
    <row r="271" spans="1:11" x14ac:dyDescent="0.3">
      <c r="A271" s="35" t="s">
        <v>284</v>
      </c>
      <c r="B271" s="36">
        <v>46047</v>
      </c>
      <c r="C271" s="37" t="s">
        <v>309</v>
      </c>
      <c r="D271" s="38">
        <v>5000</v>
      </c>
      <c r="E271" s="38">
        <v>0</v>
      </c>
      <c r="F271" s="39">
        <f t="shared" si="1"/>
        <v>123167</v>
      </c>
      <c r="G271" s="40"/>
      <c r="H271" s="19">
        <f>Table4[[#This Row],[Credit (₹)]]-Table4[[#This Row],[Debit (₹)]]</f>
        <v>-5000</v>
      </c>
      <c r="I271" s="49" t="s">
        <v>34</v>
      </c>
      <c r="J271" s="18" t="str">
        <f>_xlfn.XLOOKUP(Table4[[#This Row],[Subcategory]],Categories[Subcategory],Categories[Category],"Add Subcategory")</f>
        <v>Family Support &amp; Financial Aid</v>
      </c>
      <c r="K271" s="18" t="str">
        <f>_xlfn.XLOOKUP(Table4[[#This Row],[Subcategory]],Categories[Subcategory],Categories[Categorys Type],"Add Subcategory")</f>
        <v>Income</v>
      </c>
    </row>
    <row r="272" spans="1:11" x14ac:dyDescent="0.3">
      <c r="A272" s="42" t="s">
        <v>284</v>
      </c>
      <c r="B272" s="43">
        <v>46050</v>
      </c>
      <c r="C272" s="44" t="s">
        <v>311</v>
      </c>
      <c r="D272" s="45">
        <v>3500</v>
      </c>
      <c r="E272" s="45">
        <v>0</v>
      </c>
      <c r="F272" s="47">
        <f t="shared" si="1"/>
        <v>119667</v>
      </c>
      <c r="G272" s="46"/>
      <c r="H272" s="19">
        <f>Table4[[#This Row],[Credit (₹)]]-Table4[[#This Row],[Debit (₹)]]</f>
        <v>-3500</v>
      </c>
      <c r="I272" s="49" t="s">
        <v>419</v>
      </c>
      <c r="J272" s="18" t="str">
        <f>_xlfn.XLOOKUP(Table4[[#This Row],[Subcategory]],Categories[Subcategory],Categories[Category],"Add Subcategory")</f>
        <v xml:space="preserve">Finance </v>
      </c>
      <c r="K272" s="18" t="str">
        <f>_xlfn.XLOOKUP(Table4[[#This Row],[Subcategory]],Categories[Subcategory],Categories[Categorys Type],"Add Subcategory")</f>
        <v>Expense</v>
      </c>
    </row>
    <row r="273" spans="1:11" x14ac:dyDescent="0.3">
      <c r="A273" s="35" t="s">
        <v>284</v>
      </c>
      <c r="B273" s="36">
        <v>46052</v>
      </c>
      <c r="C273" s="37" t="s">
        <v>370</v>
      </c>
      <c r="D273" s="38">
        <v>0</v>
      </c>
      <c r="E273" s="38">
        <v>195</v>
      </c>
      <c r="F273" s="39">
        <f t="shared" si="1"/>
        <v>119862</v>
      </c>
      <c r="G273" s="40" t="s">
        <v>371</v>
      </c>
      <c r="H273" s="19">
        <f>Table4[[#This Row],[Credit (₹)]]-Table4[[#This Row],[Debit (₹)]]</f>
        <v>195</v>
      </c>
      <c r="I273" s="48" t="s">
        <v>38</v>
      </c>
      <c r="J273" s="18" t="str">
        <f>_xlfn.XLOOKUP(Table4[[#This Row],[Subcategory]],Categories[Subcategory],Categories[Category],"Add Subcategory")</f>
        <v>Refunds &amp; Adjustments</v>
      </c>
      <c r="K273" s="18" t="str">
        <f>_xlfn.XLOOKUP(Table4[[#This Row],[Subcategory]],Categories[Subcategory],Categories[Categorys Type],"Add Subcategory")</f>
        <v>Income</v>
      </c>
    </row>
    <row r="274" spans="1:11" x14ac:dyDescent="0.3">
      <c r="A274" s="42" t="s">
        <v>284</v>
      </c>
      <c r="B274" s="43">
        <v>46054</v>
      </c>
      <c r="C274" s="44" t="s">
        <v>372</v>
      </c>
      <c r="D274" s="45">
        <v>0</v>
      </c>
      <c r="E274" s="45">
        <v>50000</v>
      </c>
      <c r="F274" s="47">
        <f t="shared" si="1"/>
        <v>169862</v>
      </c>
      <c r="G274" s="46" t="s">
        <v>286</v>
      </c>
      <c r="H274" s="19">
        <f>Table4[[#This Row],[Credit (₹)]]-Table4[[#This Row],[Debit (₹)]]</f>
        <v>50000</v>
      </c>
      <c r="I274" s="48" t="s">
        <v>418</v>
      </c>
      <c r="J274" s="18" t="str">
        <f>_xlfn.XLOOKUP(Table4[[#This Row],[Subcategory]],Categories[Subcategory],Categories[Category],"Add Subcategory")</f>
        <v>Salary</v>
      </c>
      <c r="K274" s="18" t="str">
        <f>_xlfn.XLOOKUP(Table4[[#This Row],[Subcategory]],Categories[Subcategory],Categories[Categorys Type],"Add Subcategory")</f>
        <v>Income</v>
      </c>
    </row>
    <row r="275" spans="1:11" x14ac:dyDescent="0.3">
      <c r="A275" s="35" t="s">
        <v>284</v>
      </c>
      <c r="B275" s="36">
        <v>46054</v>
      </c>
      <c r="C275" s="37" t="s">
        <v>287</v>
      </c>
      <c r="D275" s="38">
        <v>5000</v>
      </c>
      <c r="E275" s="38">
        <v>0</v>
      </c>
      <c r="F275" s="39">
        <f t="shared" si="1"/>
        <v>164862</v>
      </c>
      <c r="G275" s="40"/>
      <c r="H275" s="19">
        <f>Table4[[#This Row],[Credit (₹)]]-Table4[[#This Row],[Debit (₹)]]</f>
        <v>-5000</v>
      </c>
      <c r="I275" s="49" t="s">
        <v>409</v>
      </c>
      <c r="J275" s="18" t="str">
        <f>_xlfn.XLOOKUP(Table4[[#This Row],[Subcategory]],Categories[Subcategory],Categories[Category],"Add Subcategory")</f>
        <v>Saving</v>
      </c>
      <c r="K275" s="18" t="str">
        <f>_xlfn.XLOOKUP(Table4[[#This Row],[Subcategory]],Categories[Subcategory],Categories[Categorys Type],"Add Subcategory")</f>
        <v>Expense</v>
      </c>
    </row>
    <row r="276" spans="1:11" x14ac:dyDescent="0.3">
      <c r="A276" s="42" t="s">
        <v>284</v>
      </c>
      <c r="B276" s="43">
        <v>46055</v>
      </c>
      <c r="C276" s="44" t="s">
        <v>373</v>
      </c>
      <c r="D276" s="45">
        <v>12000</v>
      </c>
      <c r="E276" s="45">
        <v>0</v>
      </c>
      <c r="F276" s="47">
        <f t="shared" si="1"/>
        <v>152862</v>
      </c>
      <c r="G276" s="46"/>
      <c r="H276" s="19">
        <f>Table4[[#This Row],[Credit (₹)]]-Table4[[#This Row],[Debit (₹)]]</f>
        <v>-12000</v>
      </c>
      <c r="I276" s="49" t="s">
        <v>413</v>
      </c>
      <c r="J276" s="18" t="str">
        <f>_xlfn.XLOOKUP(Table4[[#This Row],[Subcategory]],Categories[Subcategory],Categories[Category],"Add Subcategory")</f>
        <v>Accommodation &amp; Utilities</v>
      </c>
      <c r="K276" s="18" t="str">
        <f>_xlfn.XLOOKUP(Table4[[#This Row],[Subcategory]],Categories[Subcategory],Categories[Categorys Type],"Add Subcategory")</f>
        <v>Expense</v>
      </c>
    </row>
    <row r="277" spans="1:11" x14ac:dyDescent="0.3">
      <c r="A277" s="35" t="s">
        <v>284</v>
      </c>
      <c r="B277" s="36">
        <v>46056</v>
      </c>
      <c r="C277" s="37" t="s">
        <v>66</v>
      </c>
      <c r="D277" s="38">
        <v>880</v>
      </c>
      <c r="E277" s="38">
        <v>0</v>
      </c>
      <c r="F277" s="39">
        <f t="shared" si="1"/>
        <v>151982</v>
      </c>
      <c r="G277" s="40"/>
      <c r="H277" s="19">
        <f>Table4[[#This Row],[Credit (₹)]]-Table4[[#This Row],[Debit (₹)]]</f>
        <v>-880</v>
      </c>
      <c r="I277" s="49" t="s">
        <v>4</v>
      </c>
      <c r="J277" s="18" t="str">
        <f>_xlfn.XLOOKUP(Table4[[#This Row],[Subcategory]],Categories[Subcategory],Categories[Category],"Add Subcategory")</f>
        <v>Accommodation &amp; Utilities</v>
      </c>
      <c r="K277" s="18" t="str">
        <f>_xlfn.XLOOKUP(Table4[[#This Row],[Subcategory]],Categories[Subcategory],Categories[Categorys Type],"Add Subcategory")</f>
        <v>Expense</v>
      </c>
    </row>
    <row r="278" spans="1:11" x14ac:dyDescent="0.3">
      <c r="A278" s="42" t="s">
        <v>284</v>
      </c>
      <c r="B278" s="43">
        <v>46058</v>
      </c>
      <c r="C278" s="44" t="s">
        <v>329</v>
      </c>
      <c r="D278" s="45">
        <v>1700</v>
      </c>
      <c r="E278" s="45">
        <v>0</v>
      </c>
      <c r="F278" s="47">
        <f t="shared" si="1"/>
        <v>150282</v>
      </c>
      <c r="G278" s="46"/>
      <c r="H278" s="19">
        <f>Table4[[#This Row],[Credit (₹)]]-Table4[[#This Row],[Debit (₹)]]</f>
        <v>-1700</v>
      </c>
      <c r="I278" s="49" t="s">
        <v>6</v>
      </c>
      <c r="J278" s="18" t="str">
        <f>_xlfn.XLOOKUP(Table4[[#This Row],[Subcategory]],Categories[Subcategory],Categories[Category],"Add Subcategory")</f>
        <v>Food &amp; Daily Living</v>
      </c>
      <c r="K278" s="18" t="str">
        <f>_xlfn.XLOOKUP(Table4[[#This Row],[Subcategory]],Categories[Subcategory],Categories[Categorys Type],"Add Subcategory")</f>
        <v>Expense</v>
      </c>
    </row>
    <row r="279" spans="1:11" x14ac:dyDescent="0.3">
      <c r="A279" s="35" t="s">
        <v>284</v>
      </c>
      <c r="B279" s="36">
        <v>46058</v>
      </c>
      <c r="C279" s="37" t="s">
        <v>330</v>
      </c>
      <c r="D279" s="38">
        <v>3000</v>
      </c>
      <c r="E279" s="38">
        <v>0</v>
      </c>
      <c r="F279" s="39">
        <f t="shared" si="1"/>
        <v>147282</v>
      </c>
      <c r="G279" s="40"/>
      <c r="H279" s="19">
        <f>Table4[[#This Row],[Credit (₹)]]-Table4[[#This Row],[Debit (₹)]]</f>
        <v>-3000</v>
      </c>
      <c r="I279" s="50" t="s">
        <v>409</v>
      </c>
      <c r="J279" s="18" t="str">
        <f>_xlfn.XLOOKUP(Table4[[#This Row],[Subcategory]],Categories[Subcategory],Categories[Category],"Add Subcategory")</f>
        <v>Saving</v>
      </c>
      <c r="K279" s="18" t="str">
        <f>_xlfn.XLOOKUP(Table4[[#This Row],[Subcategory]],Categories[Subcategory],Categories[Categorys Type],"Add Subcategory")</f>
        <v>Expense</v>
      </c>
    </row>
    <row r="280" spans="1:11" x14ac:dyDescent="0.3">
      <c r="A280" s="42" t="s">
        <v>284</v>
      </c>
      <c r="B280" s="43">
        <v>46061</v>
      </c>
      <c r="C280" s="44" t="s">
        <v>198</v>
      </c>
      <c r="D280" s="45">
        <v>800</v>
      </c>
      <c r="E280" s="45">
        <v>0</v>
      </c>
      <c r="F280" s="47">
        <f t="shared" si="1"/>
        <v>146482</v>
      </c>
      <c r="G280" s="46"/>
      <c r="H280" s="19">
        <f>Table4[[#This Row],[Credit (₹)]]-Table4[[#This Row],[Debit (₹)]]</f>
        <v>-800</v>
      </c>
      <c r="I280" s="49" t="s">
        <v>6</v>
      </c>
      <c r="J280" s="18" t="str">
        <f>_xlfn.XLOOKUP(Table4[[#This Row],[Subcategory]],Categories[Subcategory],Categories[Category],"Add Subcategory")</f>
        <v>Food &amp; Daily Living</v>
      </c>
      <c r="K280" s="18" t="str">
        <f>_xlfn.XLOOKUP(Table4[[#This Row],[Subcategory]],Categories[Subcategory],Categories[Categorys Type],"Add Subcategory")</f>
        <v>Expense</v>
      </c>
    </row>
    <row r="281" spans="1:11" x14ac:dyDescent="0.3">
      <c r="A281" s="35" t="s">
        <v>284</v>
      </c>
      <c r="B281" s="36">
        <v>46063</v>
      </c>
      <c r="C281" s="37" t="s">
        <v>319</v>
      </c>
      <c r="D281" s="38">
        <v>699</v>
      </c>
      <c r="E281" s="38">
        <v>0</v>
      </c>
      <c r="F281" s="39">
        <f t="shared" si="1"/>
        <v>145783</v>
      </c>
      <c r="G281" s="40"/>
      <c r="H281" s="19">
        <f>Table4[[#This Row],[Credit (₹)]]-Table4[[#This Row],[Debit (₹)]]</f>
        <v>-699</v>
      </c>
      <c r="I281" s="49" t="s">
        <v>14</v>
      </c>
      <c r="J281" s="18" t="str">
        <f>_xlfn.XLOOKUP(Table4[[#This Row],[Subcategory]],Categories[Subcategory],Categories[Category],"Add Subcategory")</f>
        <v>Personal Care &amp; Lifestyle</v>
      </c>
      <c r="K281" s="18" t="str">
        <f>_xlfn.XLOOKUP(Table4[[#This Row],[Subcategory]],Categories[Subcategory],Categories[Categorys Type],"Add Subcategory")</f>
        <v>Expense</v>
      </c>
    </row>
    <row r="282" spans="1:11" x14ac:dyDescent="0.3">
      <c r="A282" s="42" t="s">
        <v>284</v>
      </c>
      <c r="B282" s="43">
        <v>46065</v>
      </c>
      <c r="C282" s="44" t="s">
        <v>374</v>
      </c>
      <c r="D282" s="45">
        <v>2000</v>
      </c>
      <c r="E282" s="45">
        <v>0</v>
      </c>
      <c r="F282" s="47">
        <f t="shared" si="1"/>
        <v>143783</v>
      </c>
      <c r="G282" s="46"/>
      <c r="H282" s="19">
        <f>Table4[[#This Row],[Credit (₹)]]-Table4[[#This Row],[Debit (₹)]]</f>
        <v>-2000</v>
      </c>
      <c r="I282" s="49" t="s">
        <v>409</v>
      </c>
      <c r="J282" s="18" t="str">
        <f>_xlfn.XLOOKUP(Table4[[#This Row],[Subcategory]],Categories[Subcategory],Categories[Category],"Add Subcategory")</f>
        <v>Saving</v>
      </c>
      <c r="K282" s="18" t="str">
        <f>_xlfn.XLOOKUP(Table4[[#This Row],[Subcategory]],Categories[Subcategory],Categories[Categorys Type],"Add Subcategory")</f>
        <v>Expense</v>
      </c>
    </row>
    <row r="283" spans="1:11" x14ac:dyDescent="0.3">
      <c r="A283" s="35" t="s">
        <v>284</v>
      </c>
      <c r="B283" s="36">
        <v>46067</v>
      </c>
      <c r="C283" s="37" t="s">
        <v>375</v>
      </c>
      <c r="D283" s="38">
        <v>1200</v>
      </c>
      <c r="E283" s="38">
        <v>0</v>
      </c>
      <c r="F283" s="39">
        <f t="shared" si="1"/>
        <v>142583</v>
      </c>
      <c r="G283" s="40" t="s">
        <v>376</v>
      </c>
      <c r="H283" s="19">
        <f>Table4[[#This Row],[Credit (₹)]]-Table4[[#This Row],[Debit (₹)]]</f>
        <v>-1200</v>
      </c>
      <c r="I283" s="49" t="s">
        <v>5</v>
      </c>
      <c r="J283" s="18" t="str">
        <f>_xlfn.XLOOKUP(Table4[[#This Row],[Subcategory]],Categories[Subcategory],Categories[Category],"Add Subcategory")</f>
        <v>Food &amp; Daily Living</v>
      </c>
      <c r="K283" s="18" t="str">
        <f>_xlfn.XLOOKUP(Table4[[#This Row],[Subcategory]],Categories[Subcategory],Categories[Categorys Type],"Add Subcategory")</f>
        <v>Expense</v>
      </c>
    </row>
    <row r="284" spans="1:11" x14ac:dyDescent="0.3">
      <c r="A284" s="42" t="s">
        <v>284</v>
      </c>
      <c r="B284" s="43">
        <v>46073</v>
      </c>
      <c r="C284" s="44" t="s">
        <v>377</v>
      </c>
      <c r="D284" s="45">
        <v>0</v>
      </c>
      <c r="E284" s="45">
        <v>6000</v>
      </c>
      <c r="F284" s="47">
        <f t="shared" si="1"/>
        <v>148583</v>
      </c>
      <c r="G284" s="46" t="s">
        <v>378</v>
      </c>
      <c r="H284" s="19">
        <f>Table4[[#This Row],[Credit (₹)]]-Table4[[#This Row],[Debit (₹)]]</f>
        <v>6000</v>
      </c>
      <c r="I284" s="48" t="s">
        <v>37</v>
      </c>
      <c r="J284" s="18" t="str">
        <f>_xlfn.XLOOKUP(Table4[[#This Row],[Subcategory]],Categories[Subcategory],Categories[Category],"Add Subcategory")</f>
        <v>Earnings &amp; Work Income</v>
      </c>
      <c r="K284" s="18" t="str">
        <f>_xlfn.XLOOKUP(Table4[[#This Row],[Subcategory]],Categories[Subcategory],Categories[Categorys Type],"Add Subcategory")</f>
        <v>Income</v>
      </c>
    </row>
    <row r="285" spans="1:11" x14ac:dyDescent="0.3">
      <c r="A285" s="35" t="s">
        <v>284</v>
      </c>
      <c r="B285" s="36">
        <v>46075</v>
      </c>
      <c r="C285" s="37" t="s">
        <v>351</v>
      </c>
      <c r="D285" s="38">
        <v>1200</v>
      </c>
      <c r="E285" s="38">
        <v>0</v>
      </c>
      <c r="F285" s="39">
        <f t="shared" si="1"/>
        <v>147383</v>
      </c>
      <c r="G285" s="40"/>
      <c r="H285" s="19">
        <f>Table4[[#This Row],[Credit (₹)]]-Table4[[#This Row],[Debit (₹)]]</f>
        <v>-1200</v>
      </c>
      <c r="I285" s="49" t="s">
        <v>17</v>
      </c>
      <c r="J285" s="18" t="str">
        <f>_xlfn.XLOOKUP(Table4[[#This Row],[Subcategory]],Categories[Subcategory],Categories[Category],"Add Subcategory")</f>
        <v>Personal Care &amp; Lifestyle</v>
      </c>
      <c r="K285" s="18" t="str">
        <f>_xlfn.XLOOKUP(Table4[[#This Row],[Subcategory]],Categories[Subcategory],Categories[Categorys Type],"Add Subcategory")</f>
        <v>Expense</v>
      </c>
    </row>
    <row r="286" spans="1:11" x14ac:dyDescent="0.3">
      <c r="A286" s="42" t="s">
        <v>284</v>
      </c>
      <c r="B286" s="43">
        <v>46078</v>
      </c>
      <c r="C286" s="44" t="s">
        <v>309</v>
      </c>
      <c r="D286" s="45">
        <v>5000</v>
      </c>
      <c r="E286" s="45">
        <v>0</v>
      </c>
      <c r="F286" s="47">
        <f t="shared" si="1"/>
        <v>142383</v>
      </c>
      <c r="G286" s="46"/>
      <c r="H286" s="19">
        <f>Table4[[#This Row],[Credit (₹)]]-Table4[[#This Row],[Debit (₹)]]</f>
        <v>-5000</v>
      </c>
      <c r="I286" s="49" t="s">
        <v>34</v>
      </c>
      <c r="J286" s="18" t="str">
        <f>_xlfn.XLOOKUP(Table4[[#This Row],[Subcategory]],Categories[Subcategory],Categories[Category],"Add Subcategory")</f>
        <v>Family Support &amp; Financial Aid</v>
      </c>
      <c r="K286" s="18" t="str">
        <f>_xlfn.XLOOKUP(Table4[[#This Row],[Subcategory]],Categories[Subcategory],Categories[Categorys Type],"Add Subcategory")</f>
        <v>Income</v>
      </c>
    </row>
    <row r="287" spans="1:11" x14ac:dyDescent="0.3">
      <c r="A287" s="35" t="s">
        <v>284</v>
      </c>
      <c r="B287" s="36">
        <v>46081</v>
      </c>
      <c r="C287" s="37" t="s">
        <v>311</v>
      </c>
      <c r="D287" s="38">
        <v>3500</v>
      </c>
      <c r="E287" s="38">
        <v>0</v>
      </c>
      <c r="F287" s="39">
        <f t="shared" si="1"/>
        <v>138883</v>
      </c>
      <c r="G287" s="40"/>
      <c r="H287" s="19">
        <f>Table4[[#This Row],[Credit (₹)]]-Table4[[#This Row],[Debit (₹)]]</f>
        <v>-3500</v>
      </c>
      <c r="I287" s="49" t="s">
        <v>419</v>
      </c>
      <c r="J287" s="18" t="str">
        <f>_xlfn.XLOOKUP(Table4[[#This Row],[Subcategory]],Categories[Subcategory],Categories[Category],"Add Subcategory")</f>
        <v xml:space="preserve">Finance </v>
      </c>
      <c r="K287" s="18" t="str">
        <f>_xlfn.XLOOKUP(Table4[[#This Row],[Subcategory]],Categories[Subcategory],Categories[Categorys Type],"Add Subcategory")</f>
        <v>Expense</v>
      </c>
    </row>
    <row r="288" spans="1:11" x14ac:dyDescent="0.3">
      <c r="A288" s="42" t="s">
        <v>284</v>
      </c>
      <c r="B288" s="43">
        <v>46082</v>
      </c>
      <c r="C288" s="44" t="s">
        <v>379</v>
      </c>
      <c r="D288" s="45">
        <v>0</v>
      </c>
      <c r="E288" s="45">
        <v>50000</v>
      </c>
      <c r="F288" s="47">
        <f t="shared" si="1"/>
        <v>188883</v>
      </c>
      <c r="G288" s="46" t="s">
        <v>286</v>
      </c>
      <c r="H288" s="19">
        <f>Table4[[#This Row],[Credit (₹)]]-Table4[[#This Row],[Debit (₹)]]</f>
        <v>50000</v>
      </c>
      <c r="I288" s="48" t="s">
        <v>418</v>
      </c>
      <c r="J288" s="18" t="str">
        <f>_xlfn.XLOOKUP(Table4[[#This Row],[Subcategory]],Categories[Subcategory],Categories[Category],"Add Subcategory")</f>
        <v>Salary</v>
      </c>
      <c r="K288" s="18" t="str">
        <f>_xlfn.XLOOKUP(Table4[[#This Row],[Subcategory]],Categories[Subcategory],Categories[Categorys Type],"Add Subcategory")</f>
        <v>Income</v>
      </c>
    </row>
    <row r="289" spans="1:11" x14ac:dyDescent="0.3">
      <c r="A289" s="35" t="s">
        <v>284</v>
      </c>
      <c r="B289" s="36">
        <v>46082</v>
      </c>
      <c r="C289" s="37" t="s">
        <v>287</v>
      </c>
      <c r="D289" s="38">
        <v>5000</v>
      </c>
      <c r="E289" s="38">
        <v>0</v>
      </c>
      <c r="F289" s="39">
        <f t="shared" si="1"/>
        <v>183883</v>
      </c>
      <c r="G289" s="40"/>
      <c r="H289" s="19">
        <f>Table4[[#This Row],[Credit (₹)]]-Table4[[#This Row],[Debit (₹)]]</f>
        <v>-5000</v>
      </c>
      <c r="I289" s="49" t="s">
        <v>409</v>
      </c>
      <c r="J289" s="18" t="str">
        <f>_xlfn.XLOOKUP(Table4[[#This Row],[Subcategory]],Categories[Subcategory],Categories[Category],"Add Subcategory")</f>
        <v>Saving</v>
      </c>
      <c r="K289" s="18" t="str">
        <f>_xlfn.XLOOKUP(Table4[[#This Row],[Subcategory]],Categories[Subcategory],Categories[Categorys Type],"Add Subcategory")</f>
        <v>Expense</v>
      </c>
    </row>
    <row r="290" spans="1:11" x14ac:dyDescent="0.3">
      <c r="A290" s="42" t="s">
        <v>284</v>
      </c>
      <c r="B290" s="43">
        <v>46083</v>
      </c>
      <c r="C290" s="44" t="s">
        <v>380</v>
      </c>
      <c r="D290" s="45">
        <v>12000</v>
      </c>
      <c r="E290" s="45">
        <v>0</v>
      </c>
      <c r="F290" s="47">
        <f t="shared" si="1"/>
        <v>171883</v>
      </c>
      <c r="G290" s="46"/>
      <c r="H290" s="19">
        <f>Table4[[#This Row],[Credit (₹)]]-Table4[[#This Row],[Debit (₹)]]</f>
        <v>-12000</v>
      </c>
      <c r="I290" s="49" t="s">
        <v>413</v>
      </c>
      <c r="J290" s="18" t="str">
        <f>_xlfn.XLOOKUP(Table4[[#This Row],[Subcategory]],Categories[Subcategory],Categories[Category],"Add Subcategory")</f>
        <v>Accommodation &amp; Utilities</v>
      </c>
      <c r="K290" s="18" t="str">
        <f>_xlfn.XLOOKUP(Table4[[#This Row],[Subcategory]],Categories[Subcategory],Categories[Categorys Type],"Add Subcategory")</f>
        <v>Expense</v>
      </c>
    </row>
    <row r="291" spans="1:11" x14ac:dyDescent="0.3">
      <c r="A291" s="35" t="s">
        <v>284</v>
      </c>
      <c r="B291" s="36">
        <v>46084</v>
      </c>
      <c r="C291" s="37" t="s">
        <v>66</v>
      </c>
      <c r="D291" s="38">
        <v>860</v>
      </c>
      <c r="E291" s="38">
        <v>0</v>
      </c>
      <c r="F291" s="39">
        <f t="shared" si="1"/>
        <v>171023</v>
      </c>
      <c r="G291" s="40"/>
      <c r="H291" s="19">
        <f>Table4[[#This Row],[Credit (₹)]]-Table4[[#This Row],[Debit (₹)]]</f>
        <v>-860</v>
      </c>
      <c r="I291" s="49" t="s">
        <v>4</v>
      </c>
      <c r="J291" s="18" t="str">
        <f>_xlfn.XLOOKUP(Table4[[#This Row],[Subcategory]],Categories[Subcategory],Categories[Category],"Add Subcategory")</f>
        <v>Accommodation &amp; Utilities</v>
      </c>
      <c r="K291" s="18" t="str">
        <f>_xlfn.XLOOKUP(Table4[[#This Row],[Subcategory]],Categories[Subcategory],Categories[Categorys Type],"Add Subcategory")</f>
        <v>Expense</v>
      </c>
    </row>
    <row r="292" spans="1:11" x14ac:dyDescent="0.3">
      <c r="A292" s="42" t="s">
        <v>284</v>
      </c>
      <c r="B292" s="43">
        <v>46086</v>
      </c>
      <c r="C292" s="44" t="s">
        <v>329</v>
      </c>
      <c r="D292" s="45">
        <v>1800</v>
      </c>
      <c r="E292" s="45">
        <v>0</v>
      </c>
      <c r="F292" s="47">
        <f t="shared" si="1"/>
        <v>169223</v>
      </c>
      <c r="G292" s="46"/>
      <c r="H292" s="19">
        <f>Table4[[#This Row],[Credit (₹)]]-Table4[[#This Row],[Debit (₹)]]</f>
        <v>-1800</v>
      </c>
      <c r="I292" s="49" t="s">
        <v>6</v>
      </c>
      <c r="J292" s="18" t="str">
        <f>_xlfn.XLOOKUP(Table4[[#This Row],[Subcategory]],Categories[Subcategory],Categories[Category],"Add Subcategory")</f>
        <v>Food &amp; Daily Living</v>
      </c>
      <c r="K292" s="18" t="str">
        <f>_xlfn.XLOOKUP(Table4[[#This Row],[Subcategory]],Categories[Subcategory],Categories[Categorys Type],"Add Subcategory")</f>
        <v>Expense</v>
      </c>
    </row>
    <row r="293" spans="1:11" x14ac:dyDescent="0.3">
      <c r="A293" s="35" t="s">
        <v>284</v>
      </c>
      <c r="B293" s="36">
        <v>46086</v>
      </c>
      <c r="C293" s="37" t="s">
        <v>330</v>
      </c>
      <c r="D293" s="38">
        <v>3000</v>
      </c>
      <c r="E293" s="38">
        <v>0</v>
      </c>
      <c r="F293" s="39">
        <f t="shared" si="1"/>
        <v>166223</v>
      </c>
      <c r="G293" s="40"/>
      <c r="H293" s="19">
        <f>Table4[[#This Row],[Credit (₹)]]-Table4[[#This Row],[Debit (₹)]]</f>
        <v>-3000</v>
      </c>
      <c r="I293" s="50" t="s">
        <v>409</v>
      </c>
      <c r="J293" s="18" t="str">
        <f>_xlfn.XLOOKUP(Table4[[#This Row],[Subcategory]],Categories[Subcategory],Categories[Category],"Add Subcategory")</f>
        <v>Saving</v>
      </c>
      <c r="K293" s="18" t="str">
        <f>_xlfn.XLOOKUP(Table4[[#This Row],[Subcategory]],Categories[Subcategory],Categories[Categorys Type],"Add Subcategory")</f>
        <v>Expense</v>
      </c>
    </row>
    <row r="294" spans="1:11" x14ac:dyDescent="0.3">
      <c r="A294" s="42" t="s">
        <v>284</v>
      </c>
      <c r="B294" s="43">
        <v>46089</v>
      </c>
      <c r="C294" s="44" t="s">
        <v>198</v>
      </c>
      <c r="D294" s="45">
        <v>850</v>
      </c>
      <c r="E294" s="45">
        <v>0</v>
      </c>
      <c r="F294" s="47">
        <f t="shared" si="1"/>
        <v>165373</v>
      </c>
      <c r="G294" s="46"/>
      <c r="H294" s="19">
        <f>Table4[[#This Row],[Credit (₹)]]-Table4[[#This Row],[Debit (₹)]]</f>
        <v>-850</v>
      </c>
      <c r="I294" s="49" t="s">
        <v>6</v>
      </c>
      <c r="J294" s="18" t="str">
        <f>_xlfn.XLOOKUP(Table4[[#This Row],[Subcategory]],Categories[Subcategory],Categories[Category],"Add Subcategory")</f>
        <v>Food &amp; Daily Living</v>
      </c>
      <c r="K294" s="18" t="str">
        <f>_xlfn.XLOOKUP(Table4[[#This Row],[Subcategory]],Categories[Subcategory],Categories[Categorys Type],"Add Subcategory")</f>
        <v>Expense</v>
      </c>
    </row>
    <row r="295" spans="1:11" x14ac:dyDescent="0.3">
      <c r="A295" s="35" t="s">
        <v>284</v>
      </c>
      <c r="B295" s="36">
        <v>46091</v>
      </c>
      <c r="C295" s="37" t="s">
        <v>319</v>
      </c>
      <c r="D295" s="38">
        <v>699</v>
      </c>
      <c r="E295" s="38">
        <v>0</v>
      </c>
      <c r="F295" s="39">
        <f t="shared" si="1"/>
        <v>164674</v>
      </c>
      <c r="G295" s="40"/>
      <c r="H295" s="19">
        <f>Table4[[#This Row],[Credit (₹)]]-Table4[[#This Row],[Debit (₹)]]</f>
        <v>-699</v>
      </c>
      <c r="I295" s="49" t="s">
        <v>14</v>
      </c>
      <c r="J295" s="18" t="str">
        <f>_xlfn.XLOOKUP(Table4[[#This Row],[Subcategory]],Categories[Subcategory],Categories[Category],"Add Subcategory")</f>
        <v>Personal Care &amp; Lifestyle</v>
      </c>
      <c r="K295" s="18" t="str">
        <f>_xlfn.XLOOKUP(Table4[[#This Row],[Subcategory]],Categories[Subcategory],Categories[Categorys Type],"Add Subcategory")</f>
        <v>Expense</v>
      </c>
    </row>
    <row r="296" spans="1:11" x14ac:dyDescent="0.3">
      <c r="A296" s="42" t="s">
        <v>284</v>
      </c>
      <c r="B296" s="43">
        <v>46093</v>
      </c>
      <c r="C296" s="44" t="s">
        <v>374</v>
      </c>
      <c r="D296" s="45">
        <v>2000</v>
      </c>
      <c r="E296" s="45">
        <v>0</v>
      </c>
      <c r="F296" s="47">
        <f t="shared" si="1"/>
        <v>162674</v>
      </c>
      <c r="G296" s="46"/>
      <c r="H296" s="19">
        <f>Table4[[#This Row],[Credit (₹)]]-Table4[[#This Row],[Debit (₹)]]</f>
        <v>-2000</v>
      </c>
      <c r="I296" s="49" t="s">
        <v>409</v>
      </c>
      <c r="J296" s="18" t="str">
        <f>_xlfn.XLOOKUP(Table4[[#This Row],[Subcategory]],Categories[Subcategory],Categories[Category],"Add Subcategory")</f>
        <v>Saving</v>
      </c>
      <c r="K296" s="18" t="str">
        <f>_xlfn.XLOOKUP(Table4[[#This Row],[Subcategory]],Categories[Subcategory],Categories[Categorys Type],"Add Subcategory")</f>
        <v>Expense</v>
      </c>
    </row>
    <row r="297" spans="1:11" x14ac:dyDescent="0.3">
      <c r="A297" s="35" t="s">
        <v>284</v>
      </c>
      <c r="B297" s="36">
        <v>46096</v>
      </c>
      <c r="C297" s="37" t="s">
        <v>381</v>
      </c>
      <c r="D297" s="38">
        <v>5000</v>
      </c>
      <c r="E297" s="38">
        <v>0</v>
      </c>
      <c r="F297" s="39">
        <f t="shared" si="1"/>
        <v>157674</v>
      </c>
      <c r="G297" s="40" t="s">
        <v>382</v>
      </c>
      <c r="H297" s="19">
        <f>Table4[[#This Row],[Credit (₹)]]-Table4[[#This Row],[Debit (₹)]]</f>
        <v>-5000</v>
      </c>
      <c r="I297" s="49" t="s">
        <v>409</v>
      </c>
      <c r="J297" s="18" t="str">
        <f>_xlfn.XLOOKUP(Table4[[#This Row],[Subcategory]],Categories[Subcategory],Categories[Category],"Add Subcategory")</f>
        <v>Saving</v>
      </c>
      <c r="K297" s="18" t="str">
        <f>_xlfn.XLOOKUP(Table4[[#This Row],[Subcategory]],Categories[Subcategory],Categories[Categorys Type],"Add Subcategory")</f>
        <v>Expense</v>
      </c>
    </row>
    <row r="298" spans="1:11" x14ac:dyDescent="0.3">
      <c r="A298" s="42" t="s">
        <v>284</v>
      </c>
      <c r="B298" s="43">
        <v>46101</v>
      </c>
      <c r="C298" s="44" t="s">
        <v>383</v>
      </c>
      <c r="D298" s="45">
        <v>900</v>
      </c>
      <c r="E298" s="45">
        <v>0</v>
      </c>
      <c r="F298" s="47">
        <f t="shared" si="1"/>
        <v>156774</v>
      </c>
      <c r="G298" s="46"/>
      <c r="H298" s="19">
        <f>Table4[[#This Row],[Credit (₹)]]-Table4[[#This Row],[Debit (₹)]]</f>
        <v>-900</v>
      </c>
      <c r="I298" s="49" t="s">
        <v>16</v>
      </c>
      <c r="J298" s="18" t="str">
        <f>_xlfn.XLOOKUP(Table4[[#This Row],[Subcategory]],Categories[Subcategory],Categories[Category],"Add Subcategory")</f>
        <v>Health &amp; Medical</v>
      </c>
      <c r="K298" s="18" t="str">
        <f>_xlfn.XLOOKUP(Table4[[#This Row],[Subcategory]],Categories[Subcategory],Categories[Categorys Type],"Add Subcategory")</f>
        <v>Expense</v>
      </c>
    </row>
    <row r="299" spans="1:11" x14ac:dyDescent="0.3">
      <c r="A299" s="35" t="s">
        <v>284</v>
      </c>
      <c r="B299" s="36">
        <v>46106</v>
      </c>
      <c r="C299" s="37" t="s">
        <v>309</v>
      </c>
      <c r="D299" s="38">
        <v>5000</v>
      </c>
      <c r="E299" s="38">
        <v>0</v>
      </c>
      <c r="F299" s="39">
        <f t="shared" si="1"/>
        <v>151774</v>
      </c>
      <c r="G299" s="40"/>
      <c r="H299" s="19">
        <f>Table4[[#This Row],[Credit (₹)]]-Table4[[#This Row],[Debit (₹)]]</f>
        <v>-5000</v>
      </c>
      <c r="I299" s="49" t="s">
        <v>34</v>
      </c>
      <c r="J299" s="18" t="str">
        <f>_xlfn.XLOOKUP(Table4[[#This Row],[Subcategory]],Categories[Subcategory],Categories[Category],"Add Subcategory")</f>
        <v>Family Support &amp; Financial Aid</v>
      </c>
      <c r="K299" s="18" t="str">
        <f>_xlfn.XLOOKUP(Table4[[#This Row],[Subcategory]],Categories[Subcategory],Categories[Categorys Type],"Add Subcategory")</f>
        <v>Income</v>
      </c>
    </row>
    <row r="300" spans="1:11" x14ac:dyDescent="0.3">
      <c r="A300" s="42" t="s">
        <v>284</v>
      </c>
      <c r="B300" s="43">
        <v>46109</v>
      </c>
      <c r="C300" s="44" t="s">
        <v>311</v>
      </c>
      <c r="D300" s="45">
        <v>3500</v>
      </c>
      <c r="E300" s="45">
        <v>0</v>
      </c>
      <c r="F300" s="47">
        <f t="shared" si="1"/>
        <v>148274</v>
      </c>
      <c r="G300" s="46"/>
      <c r="H300" s="19">
        <f>Table4[[#This Row],[Credit (₹)]]-Table4[[#This Row],[Debit (₹)]]</f>
        <v>-3500</v>
      </c>
      <c r="I300" s="49" t="s">
        <v>419</v>
      </c>
      <c r="J300" s="18" t="str">
        <f>_xlfn.XLOOKUP(Table4[[#This Row],[Subcategory]],Categories[Subcategory],Categories[Category],"Add Subcategory")</f>
        <v xml:space="preserve">Finance </v>
      </c>
      <c r="K300" s="18" t="str">
        <f>_xlfn.XLOOKUP(Table4[[#This Row],[Subcategory]],Categories[Subcategory],Categories[Categorys Type],"Add Subcategory")</f>
        <v>Expense</v>
      </c>
    </row>
    <row r="301" spans="1:11" x14ac:dyDescent="0.3">
      <c r="A301" s="35" t="s">
        <v>284</v>
      </c>
      <c r="B301" s="36">
        <v>46113</v>
      </c>
      <c r="C301" s="37" t="s">
        <v>384</v>
      </c>
      <c r="D301" s="38">
        <v>0</v>
      </c>
      <c r="E301" s="38">
        <v>50000</v>
      </c>
      <c r="F301" s="39">
        <f t="shared" si="1"/>
        <v>198274</v>
      </c>
      <c r="G301" s="40" t="s">
        <v>286</v>
      </c>
      <c r="H301" s="19">
        <f>Table4[[#This Row],[Credit (₹)]]-Table4[[#This Row],[Debit (₹)]]</f>
        <v>50000</v>
      </c>
      <c r="I301" s="48" t="s">
        <v>418</v>
      </c>
      <c r="J301" s="18" t="str">
        <f>_xlfn.XLOOKUP(Table4[[#This Row],[Subcategory]],Categories[Subcategory],Categories[Category],"Add Subcategory")</f>
        <v>Salary</v>
      </c>
      <c r="K301" s="18" t="str">
        <f>_xlfn.XLOOKUP(Table4[[#This Row],[Subcategory]],Categories[Subcategory],Categories[Categorys Type],"Add Subcategory")</f>
        <v>Income</v>
      </c>
    </row>
    <row r="302" spans="1:11" x14ac:dyDescent="0.3">
      <c r="A302" s="42" t="s">
        <v>284</v>
      </c>
      <c r="B302" s="43">
        <v>46113</v>
      </c>
      <c r="C302" s="44" t="s">
        <v>287</v>
      </c>
      <c r="D302" s="45">
        <v>5000</v>
      </c>
      <c r="E302" s="45">
        <v>0</v>
      </c>
      <c r="F302" s="47">
        <f t="shared" si="1"/>
        <v>193274</v>
      </c>
      <c r="G302" s="46"/>
      <c r="H302" s="19">
        <f>Table4[[#This Row],[Credit (₹)]]-Table4[[#This Row],[Debit (₹)]]</f>
        <v>-5000</v>
      </c>
      <c r="I302" s="49" t="s">
        <v>409</v>
      </c>
      <c r="J302" s="18" t="str">
        <f>_xlfn.XLOOKUP(Table4[[#This Row],[Subcategory]],Categories[Subcategory],Categories[Category],"Add Subcategory")</f>
        <v>Saving</v>
      </c>
      <c r="K302" s="18" t="str">
        <f>_xlfn.XLOOKUP(Table4[[#This Row],[Subcategory]],Categories[Subcategory],Categories[Categorys Type],"Add Subcategory")</f>
        <v>Expense</v>
      </c>
    </row>
    <row r="303" spans="1:11" x14ac:dyDescent="0.3">
      <c r="A303" s="35" t="s">
        <v>284</v>
      </c>
      <c r="B303" s="36">
        <v>46114</v>
      </c>
      <c r="C303" s="37" t="s">
        <v>385</v>
      </c>
      <c r="D303" s="38">
        <v>12000</v>
      </c>
      <c r="E303" s="38">
        <v>0</v>
      </c>
      <c r="F303" s="39">
        <f t="shared" si="1"/>
        <v>181274</v>
      </c>
      <c r="G303" s="40"/>
      <c r="H303" s="19">
        <f>Table4[[#This Row],[Credit (₹)]]-Table4[[#This Row],[Debit (₹)]]</f>
        <v>-12000</v>
      </c>
      <c r="I303" s="49" t="s">
        <v>413</v>
      </c>
      <c r="J303" s="18" t="str">
        <f>_xlfn.XLOOKUP(Table4[[#This Row],[Subcategory]],Categories[Subcategory],Categories[Category],"Add Subcategory")</f>
        <v>Accommodation &amp; Utilities</v>
      </c>
      <c r="K303" s="18" t="str">
        <f>_xlfn.XLOOKUP(Table4[[#This Row],[Subcategory]],Categories[Subcategory],Categories[Categorys Type],"Add Subcategory")</f>
        <v>Expense</v>
      </c>
    </row>
    <row r="304" spans="1:11" x14ac:dyDescent="0.3">
      <c r="A304" s="42" t="s">
        <v>284</v>
      </c>
      <c r="B304" s="43">
        <v>46115</v>
      </c>
      <c r="C304" s="44" t="s">
        <v>66</v>
      </c>
      <c r="D304" s="45">
        <v>990</v>
      </c>
      <c r="E304" s="45">
        <v>0</v>
      </c>
      <c r="F304" s="47">
        <f t="shared" si="1"/>
        <v>180284</v>
      </c>
      <c r="G304" s="46" t="s">
        <v>386</v>
      </c>
      <c r="H304" s="19">
        <f>Table4[[#This Row],[Credit (₹)]]-Table4[[#This Row],[Debit (₹)]]</f>
        <v>-990</v>
      </c>
      <c r="I304" s="49" t="s">
        <v>4</v>
      </c>
      <c r="J304" s="18" t="str">
        <f>_xlfn.XLOOKUP(Table4[[#This Row],[Subcategory]],Categories[Subcategory],Categories[Category],"Add Subcategory")</f>
        <v>Accommodation &amp; Utilities</v>
      </c>
      <c r="K304" s="18" t="str">
        <f>_xlfn.XLOOKUP(Table4[[#This Row],[Subcategory]],Categories[Subcategory],Categories[Categorys Type],"Add Subcategory")</f>
        <v>Expense</v>
      </c>
    </row>
    <row r="305" spans="1:11" x14ac:dyDescent="0.3">
      <c r="A305" s="35" t="s">
        <v>284</v>
      </c>
      <c r="B305" s="36">
        <v>46117</v>
      </c>
      <c r="C305" s="37" t="s">
        <v>329</v>
      </c>
      <c r="D305" s="38">
        <v>1850</v>
      </c>
      <c r="E305" s="38">
        <v>0</v>
      </c>
      <c r="F305" s="39">
        <f t="shared" ref="F305:F343" si="2">F304+E305-D305</f>
        <v>178434</v>
      </c>
      <c r="G305" s="40"/>
      <c r="H305" s="19">
        <f>Table4[[#This Row],[Credit (₹)]]-Table4[[#This Row],[Debit (₹)]]</f>
        <v>-1850</v>
      </c>
      <c r="I305" s="49" t="s">
        <v>6</v>
      </c>
      <c r="J305" s="18" t="str">
        <f>_xlfn.XLOOKUP(Table4[[#This Row],[Subcategory]],Categories[Subcategory],Categories[Category],"Add Subcategory")</f>
        <v>Food &amp; Daily Living</v>
      </c>
      <c r="K305" s="18" t="str">
        <f>_xlfn.XLOOKUP(Table4[[#This Row],[Subcategory]],Categories[Subcategory],Categories[Categorys Type],"Add Subcategory")</f>
        <v>Expense</v>
      </c>
    </row>
    <row r="306" spans="1:11" x14ac:dyDescent="0.3">
      <c r="A306" s="42" t="s">
        <v>284</v>
      </c>
      <c r="B306" s="43">
        <v>46117</v>
      </c>
      <c r="C306" s="44" t="s">
        <v>330</v>
      </c>
      <c r="D306" s="45">
        <v>3000</v>
      </c>
      <c r="E306" s="45">
        <v>0</v>
      </c>
      <c r="F306" s="47">
        <f t="shared" si="2"/>
        <v>175434</v>
      </c>
      <c r="G306" s="46"/>
      <c r="H306" s="19">
        <f>Table4[[#This Row],[Credit (₹)]]-Table4[[#This Row],[Debit (₹)]]</f>
        <v>-3000</v>
      </c>
      <c r="I306" s="50" t="s">
        <v>409</v>
      </c>
      <c r="J306" s="18" t="str">
        <f>_xlfn.XLOOKUP(Table4[[#This Row],[Subcategory]],Categories[Subcategory],Categories[Category],"Add Subcategory")</f>
        <v>Saving</v>
      </c>
      <c r="K306" s="18" t="str">
        <f>_xlfn.XLOOKUP(Table4[[#This Row],[Subcategory]],Categories[Subcategory],Categories[Categorys Type],"Add Subcategory")</f>
        <v>Expense</v>
      </c>
    </row>
    <row r="307" spans="1:11" x14ac:dyDescent="0.3">
      <c r="A307" s="35" t="s">
        <v>284</v>
      </c>
      <c r="B307" s="36">
        <v>46120</v>
      </c>
      <c r="C307" s="37" t="s">
        <v>198</v>
      </c>
      <c r="D307" s="38">
        <v>900</v>
      </c>
      <c r="E307" s="38">
        <v>0</v>
      </c>
      <c r="F307" s="39">
        <f t="shared" si="2"/>
        <v>174534</v>
      </c>
      <c r="G307" s="40"/>
      <c r="H307" s="19">
        <f>Table4[[#This Row],[Credit (₹)]]-Table4[[#This Row],[Debit (₹)]]</f>
        <v>-900</v>
      </c>
      <c r="I307" s="49" t="s">
        <v>6</v>
      </c>
      <c r="J307" s="18" t="str">
        <f>_xlfn.XLOOKUP(Table4[[#This Row],[Subcategory]],Categories[Subcategory],Categories[Category],"Add Subcategory")</f>
        <v>Food &amp; Daily Living</v>
      </c>
      <c r="K307" s="18" t="str">
        <f>_xlfn.XLOOKUP(Table4[[#This Row],[Subcategory]],Categories[Subcategory],Categories[Categorys Type],"Add Subcategory")</f>
        <v>Expense</v>
      </c>
    </row>
    <row r="308" spans="1:11" x14ac:dyDescent="0.3">
      <c r="A308" s="42" t="s">
        <v>284</v>
      </c>
      <c r="B308" s="43">
        <v>46122</v>
      </c>
      <c r="C308" s="44" t="s">
        <v>319</v>
      </c>
      <c r="D308" s="45">
        <v>699</v>
      </c>
      <c r="E308" s="45">
        <v>0</v>
      </c>
      <c r="F308" s="47">
        <f t="shared" si="2"/>
        <v>173835</v>
      </c>
      <c r="G308" s="46"/>
      <c r="H308" s="19">
        <f>Table4[[#This Row],[Credit (₹)]]-Table4[[#This Row],[Debit (₹)]]</f>
        <v>-699</v>
      </c>
      <c r="I308" s="49" t="s">
        <v>14</v>
      </c>
      <c r="J308" s="18" t="str">
        <f>_xlfn.XLOOKUP(Table4[[#This Row],[Subcategory]],Categories[Subcategory],Categories[Category],"Add Subcategory")</f>
        <v>Personal Care &amp; Lifestyle</v>
      </c>
      <c r="K308" s="18" t="str">
        <f>_xlfn.XLOOKUP(Table4[[#This Row],[Subcategory]],Categories[Subcategory],Categories[Categorys Type],"Add Subcategory")</f>
        <v>Expense</v>
      </c>
    </row>
    <row r="309" spans="1:11" x14ac:dyDescent="0.3">
      <c r="A309" s="35" t="s">
        <v>284</v>
      </c>
      <c r="B309" s="36">
        <v>46124</v>
      </c>
      <c r="C309" s="37" t="s">
        <v>374</v>
      </c>
      <c r="D309" s="38">
        <v>2000</v>
      </c>
      <c r="E309" s="38">
        <v>0</v>
      </c>
      <c r="F309" s="39">
        <f t="shared" si="2"/>
        <v>171835</v>
      </c>
      <c r="G309" s="40"/>
      <c r="H309" s="19">
        <f>Table4[[#This Row],[Credit (₹)]]-Table4[[#This Row],[Debit (₹)]]</f>
        <v>-2000</v>
      </c>
      <c r="I309" s="49" t="s">
        <v>409</v>
      </c>
      <c r="J309" s="18" t="str">
        <f>_xlfn.XLOOKUP(Table4[[#This Row],[Subcategory]],Categories[Subcategory],Categories[Category],"Add Subcategory")</f>
        <v>Saving</v>
      </c>
      <c r="K309" s="18" t="str">
        <f>_xlfn.XLOOKUP(Table4[[#This Row],[Subcategory]],Categories[Subcategory],Categories[Categorys Type],"Add Subcategory")</f>
        <v>Expense</v>
      </c>
    </row>
    <row r="310" spans="1:11" x14ac:dyDescent="0.3">
      <c r="A310" s="42" t="s">
        <v>284</v>
      </c>
      <c r="B310" s="43">
        <v>46127</v>
      </c>
      <c r="C310" s="44" t="s">
        <v>387</v>
      </c>
      <c r="D310" s="45">
        <v>0</v>
      </c>
      <c r="E310" s="45">
        <v>5000</v>
      </c>
      <c r="F310" s="47">
        <f t="shared" si="2"/>
        <v>176835</v>
      </c>
      <c r="G310" s="46" t="s">
        <v>388</v>
      </c>
      <c r="H310" s="19">
        <f>Table4[[#This Row],[Credit (₹)]]-Table4[[#This Row],[Debit (₹)]]</f>
        <v>5000</v>
      </c>
      <c r="I310" s="48" t="s">
        <v>418</v>
      </c>
      <c r="J310" s="18" t="str">
        <f>_xlfn.XLOOKUP(Table4[[#This Row],[Subcategory]],Categories[Subcategory],Categories[Category],"Add Subcategory")</f>
        <v>Salary</v>
      </c>
      <c r="K310" s="18" t="str">
        <f>_xlfn.XLOOKUP(Table4[[#This Row],[Subcategory]],Categories[Subcategory],Categories[Categorys Type],"Add Subcategory")</f>
        <v>Income</v>
      </c>
    </row>
    <row r="311" spans="1:11" x14ac:dyDescent="0.3">
      <c r="A311" s="35" t="s">
        <v>284</v>
      </c>
      <c r="B311" s="36">
        <v>46130</v>
      </c>
      <c r="C311" s="37" t="s">
        <v>389</v>
      </c>
      <c r="D311" s="38">
        <v>4500</v>
      </c>
      <c r="E311" s="38">
        <v>0</v>
      </c>
      <c r="F311" s="39">
        <f t="shared" si="2"/>
        <v>172335</v>
      </c>
      <c r="G311" s="40" t="s">
        <v>390</v>
      </c>
      <c r="H311" s="19">
        <f>Table4[[#This Row],[Credit (₹)]]-Table4[[#This Row],[Debit (₹)]]</f>
        <v>-4500</v>
      </c>
      <c r="I311" s="49" t="s">
        <v>410</v>
      </c>
      <c r="J311" s="18" t="str">
        <f>_xlfn.XLOOKUP(Table4[[#This Row],[Subcategory]],Categories[Subcategory],Categories[Category],"Add Subcategory")</f>
        <v>Transport &amp; Travel</v>
      </c>
      <c r="K311" s="18" t="str">
        <f>_xlfn.XLOOKUP(Table4[[#This Row],[Subcategory]],Categories[Subcategory],Categories[Categorys Type],"Add Subcategory")</f>
        <v>Expense</v>
      </c>
    </row>
    <row r="312" spans="1:11" x14ac:dyDescent="0.3">
      <c r="A312" s="42" t="s">
        <v>284</v>
      </c>
      <c r="B312" s="43">
        <v>46132</v>
      </c>
      <c r="C312" s="44" t="s">
        <v>391</v>
      </c>
      <c r="D312" s="45">
        <v>3000</v>
      </c>
      <c r="E312" s="45">
        <v>0</v>
      </c>
      <c r="F312" s="47">
        <f t="shared" si="2"/>
        <v>169335</v>
      </c>
      <c r="G312" s="46" t="s">
        <v>392</v>
      </c>
      <c r="H312" s="19">
        <f>Table4[[#This Row],[Credit (₹)]]-Table4[[#This Row],[Debit (₹)]]</f>
        <v>-3000</v>
      </c>
      <c r="I312" s="49" t="s">
        <v>11</v>
      </c>
      <c r="J312" s="18" t="str">
        <f>_xlfn.XLOOKUP(Table4[[#This Row],[Subcategory]],Categories[Subcategory],Categories[Category],"Add Subcategory")</f>
        <v>Transport &amp; Travel</v>
      </c>
      <c r="K312" s="18" t="str">
        <f>_xlfn.XLOOKUP(Table4[[#This Row],[Subcategory]],Categories[Subcategory],Categories[Categorys Type],"Add Subcategory")</f>
        <v>Expense</v>
      </c>
    </row>
    <row r="313" spans="1:11" x14ac:dyDescent="0.3">
      <c r="A313" s="35" t="s">
        <v>284</v>
      </c>
      <c r="B313" s="36">
        <v>46137</v>
      </c>
      <c r="C313" s="37" t="s">
        <v>309</v>
      </c>
      <c r="D313" s="38">
        <v>5000</v>
      </c>
      <c r="E313" s="38">
        <v>0</v>
      </c>
      <c r="F313" s="39">
        <f t="shared" si="2"/>
        <v>164335</v>
      </c>
      <c r="G313" s="40"/>
      <c r="H313" s="19">
        <f>Table4[[#This Row],[Credit (₹)]]-Table4[[#This Row],[Debit (₹)]]</f>
        <v>-5000</v>
      </c>
      <c r="I313" s="49" t="s">
        <v>34</v>
      </c>
      <c r="J313" s="18" t="str">
        <f>_xlfn.XLOOKUP(Table4[[#This Row],[Subcategory]],Categories[Subcategory],Categories[Category],"Add Subcategory")</f>
        <v>Family Support &amp; Financial Aid</v>
      </c>
      <c r="K313" s="18" t="str">
        <f>_xlfn.XLOOKUP(Table4[[#This Row],[Subcategory]],Categories[Subcategory],Categories[Categorys Type],"Add Subcategory")</f>
        <v>Income</v>
      </c>
    </row>
    <row r="314" spans="1:11" x14ac:dyDescent="0.3">
      <c r="A314" s="42" t="s">
        <v>284</v>
      </c>
      <c r="B314" s="43">
        <v>46140</v>
      </c>
      <c r="C314" s="44" t="s">
        <v>311</v>
      </c>
      <c r="D314" s="45">
        <v>3500</v>
      </c>
      <c r="E314" s="45">
        <v>0</v>
      </c>
      <c r="F314" s="47">
        <f t="shared" si="2"/>
        <v>160835</v>
      </c>
      <c r="G314" s="46"/>
      <c r="H314" s="19">
        <f>Table4[[#This Row],[Credit (₹)]]-Table4[[#This Row],[Debit (₹)]]</f>
        <v>-3500</v>
      </c>
      <c r="I314" s="49" t="s">
        <v>419</v>
      </c>
      <c r="J314" s="18" t="str">
        <f>_xlfn.XLOOKUP(Table4[[#This Row],[Subcategory]],Categories[Subcategory],Categories[Category],"Add Subcategory")</f>
        <v xml:space="preserve">Finance </v>
      </c>
      <c r="K314" s="18" t="str">
        <f>_xlfn.XLOOKUP(Table4[[#This Row],[Subcategory]],Categories[Subcategory],Categories[Categorys Type],"Add Subcategory")</f>
        <v>Expense</v>
      </c>
    </row>
    <row r="315" spans="1:11" x14ac:dyDescent="0.3">
      <c r="A315" s="35" t="s">
        <v>284</v>
      </c>
      <c r="B315" s="36">
        <v>46142</v>
      </c>
      <c r="C315" s="37" t="s">
        <v>393</v>
      </c>
      <c r="D315" s="38">
        <v>0</v>
      </c>
      <c r="E315" s="38">
        <v>210</v>
      </c>
      <c r="F315" s="39">
        <f t="shared" si="2"/>
        <v>161045</v>
      </c>
      <c r="G315" s="40" t="s">
        <v>371</v>
      </c>
      <c r="H315" s="19">
        <f>Table4[[#This Row],[Credit (₹)]]-Table4[[#This Row],[Debit (₹)]]</f>
        <v>210</v>
      </c>
      <c r="I315" s="48" t="s">
        <v>38</v>
      </c>
      <c r="J315" s="18" t="str">
        <f>_xlfn.XLOOKUP(Table4[[#This Row],[Subcategory]],Categories[Subcategory],Categories[Category],"Add Subcategory")</f>
        <v>Refunds &amp; Adjustments</v>
      </c>
      <c r="K315" s="18" t="str">
        <f>_xlfn.XLOOKUP(Table4[[#This Row],[Subcategory]],Categories[Subcategory],Categories[Categorys Type],"Add Subcategory")</f>
        <v>Income</v>
      </c>
    </row>
    <row r="316" spans="1:11" x14ac:dyDescent="0.3">
      <c r="A316" s="42" t="s">
        <v>284</v>
      </c>
      <c r="B316" s="43">
        <v>46143</v>
      </c>
      <c r="C316" s="44" t="s">
        <v>394</v>
      </c>
      <c r="D316" s="45">
        <v>0</v>
      </c>
      <c r="E316" s="45">
        <v>55000</v>
      </c>
      <c r="F316" s="47">
        <f t="shared" si="2"/>
        <v>216045</v>
      </c>
      <c r="G316" s="46" t="s">
        <v>395</v>
      </c>
      <c r="H316" s="19">
        <f>Table4[[#This Row],[Credit (₹)]]-Table4[[#This Row],[Debit (₹)]]</f>
        <v>55000</v>
      </c>
      <c r="I316" s="48" t="s">
        <v>418</v>
      </c>
      <c r="J316" s="18" t="str">
        <f>_xlfn.XLOOKUP(Table4[[#This Row],[Subcategory]],Categories[Subcategory],Categories[Category],"Add Subcategory")</f>
        <v>Salary</v>
      </c>
      <c r="K316" s="18" t="str">
        <f>_xlfn.XLOOKUP(Table4[[#This Row],[Subcategory]],Categories[Subcategory],Categories[Categorys Type],"Add Subcategory")</f>
        <v>Income</v>
      </c>
    </row>
    <row r="317" spans="1:11" x14ac:dyDescent="0.3">
      <c r="A317" s="35" t="s">
        <v>284</v>
      </c>
      <c r="B317" s="36">
        <v>46143</v>
      </c>
      <c r="C317" s="37" t="s">
        <v>287</v>
      </c>
      <c r="D317" s="38">
        <v>6000</v>
      </c>
      <c r="E317" s="38">
        <v>0</v>
      </c>
      <c r="F317" s="39">
        <f t="shared" si="2"/>
        <v>210045</v>
      </c>
      <c r="G317" s="40" t="s">
        <v>396</v>
      </c>
      <c r="H317" s="19">
        <f>Table4[[#This Row],[Credit (₹)]]-Table4[[#This Row],[Debit (₹)]]</f>
        <v>-6000</v>
      </c>
      <c r="I317" s="49" t="s">
        <v>409</v>
      </c>
      <c r="J317" s="18" t="str">
        <f>_xlfn.XLOOKUP(Table4[[#This Row],[Subcategory]],Categories[Subcategory],Categories[Category],"Add Subcategory")</f>
        <v>Saving</v>
      </c>
      <c r="K317" s="18" t="str">
        <f>_xlfn.XLOOKUP(Table4[[#This Row],[Subcategory]],Categories[Subcategory],Categories[Categorys Type],"Add Subcategory")</f>
        <v>Expense</v>
      </c>
    </row>
    <row r="318" spans="1:11" x14ac:dyDescent="0.3">
      <c r="A318" s="42" t="s">
        <v>284</v>
      </c>
      <c r="B318" s="43">
        <v>46144</v>
      </c>
      <c r="C318" s="44" t="s">
        <v>397</v>
      </c>
      <c r="D318" s="45">
        <v>12000</v>
      </c>
      <c r="E318" s="45">
        <v>0</v>
      </c>
      <c r="F318" s="47">
        <f t="shared" si="2"/>
        <v>198045</v>
      </c>
      <c r="G318" s="46"/>
      <c r="H318" s="19">
        <f>Table4[[#This Row],[Credit (₹)]]-Table4[[#This Row],[Debit (₹)]]</f>
        <v>-12000</v>
      </c>
      <c r="I318" s="49" t="s">
        <v>413</v>
      </c>
      <c r="J318" s="18" t="str">
        <f>_xlfn.XLOOKUP(Table4[[#This Row],[Subcategory]],Categories[Subcategory],Categories[Category],"Add Subcategory")</f>
        <v>Accommodation &amp; Utilities</v>
      </c>
      <c r="K318" s="18" t="str">
        <f>_xlfn.XLOOKUP(Table4[[#This Row],[Subcategory]],Categories[Subcategory],Categories[Categorys Type],"Add Subcategory")</f>
        <v>Expense</v>
      </c>
    </row>
    <row r="319" spans="1:11" x14ac:dyDescent="0.3">
      <c r="A319" s="35" t="s">
        <v>284</v>
      </c>
      <c r="B319" s="36">
        <v>46145</v>
      </c>
      <c r="C319" s="37" t="s">
        <v>66</v>
      </c>
      <c r="D319" s="38">
        <v>1200</v>
      </c>
      <c r="E319" s="38">
        <v>0</v>
      </c>
      <c r="F319" s="39">
        <f t="shared" si="2"/>
        <v>196845</v>
      </c>
      <c r="G319" s="40" t="s">
        <v>398</v>
      </c>
      <c r="H319" s="19">
        <f>Table4[[#This Row],[Credit (₹)]]-Table4[[#This Row],[Debit (₹)]]</f>
        <v>-1200</v>
      </c>
      <c r="I319" s="49" t="s">
        <v>4</v>
      </c>
      <c r="J319" s="18" t="str">
        <f>_xlfn.XLOOKUP(Table4[[#This Row],[Subcategory]],Categories[Subcategory],Categories[Category],"Add Subcategory")</f>
        <v>Accommodation &amp; Utilities</v>
      </c>
      <c r="K319" s="18" t="str">
        <f>_xlfn.XLOOKUP(Table4[[#This Row],[Subcategory]],Categories[Subcategory],Categories[Categorys Type],"Add Subcategory")</f>
        <v>Expense</v>
      </c>
    </row>
    <row r="320" spans="1:11" x14ac:dyDescent="0.3">
      <c r="A320" s="42" t="s">
        <v>284</v>
      </c>
      <c r="B320" s="43">
        <v>46147</v>
      </c>
      <c r="C320" s="44" t="s">
        <v>329</v>
      </c>
      <c r="D320" s="45">
        <v>1900</v>
      </c>
      <c r="E320" s="45">
        <v>0</v>
      </c>
      <c r="F320" s="47">
        <f t="shared" si="2"/>
        <v>194945</v>
      </c>
      <c r="G320" s="46"/>
      <c r="H320" s="19">
        <f>Table4[[#This Row],[Credit (₹)]]-Table4[[#This Row],[Debit (₹)]]</f>
        <v>-1900</v>
      </c>
      <c r="I320" s="49" t="s">
        <v>6</v>
      </c>
      <c r="J320" s="18" t="str">
        <f>_xlfn.XLOOKUP(Table4[[#This Row],[Subcategory]],Categories[Subcategory],Categories[Category],"Add Subcategory")</f>
        <v>Food &amp; Daily Living</v>
      </c>
      <c r="K320" s="18" t="str">
        <f>_xlfn.XLOOKUP(Table4[[#This Row],[Subcategory]],Categories[Subcategory],Categories[Categorys Type],"Add Subcategory")</f>
        <v>Expense</v>
      </c>
    </row>
    <row r="321" spans="1:11" x14ac:dyDescent="0.3">
      <c r="A321" s="35" t="s">
        <v>284</v>
      </c>
      <c r="B321" s="36">
        <v>46147</v>
      </c>
      <c r="C321" s="37" t="s">
        <v>330</v>
      </c>
      <c r="D321" s="38">
        <v>4000</v>
      </c>
      <c r="E321" s="38">
        <v>0</v>
      </c>
      <c r="F321" s="39">
        <f t="shared" si="2"/>
        <v>190945</v>
      </c>
      <c r="G321" s="40" t="s">
        <v>417</v>
      </c>
      <c r="H321" s="19">
        <f>Table4[[#This Row],[Credit (₹)]]-Table4[[#This Row],[Debit (₹)]]</f>
        <v>-4000</v>
      </c>
      <c r="I321" s="50" t="s">
        <v>409</v>
      </c>
      <c r="J321" s="18" t="str">
        <f>_xlfn.XLOOKUP(Table4[[#This Row],[Subcategory]],Categories[Subcategory],Categories[Category],"Add Subcategory")</f>
        <v>Saving</v>
      </c>
      <c r="K321" s="18" t="str">
        <f>_xlfn.XLOOKUP(Table4[[#This Row],[Subcategory]],Categories[Subcategory],Categories[Categorys Type],"Add Subcategory")</f>
        <v>Expense</v>
      </c>
    </row>
    <row r="322" spans="1:11" x14ac:dyDescent="0.3">
      <c r="A322" s="42" t="s">
        <v>284</v>
      </c>
      <c r="B322" s="43">
        <v>46150</v>
      </c>
      <c r="C322" s="44" t="s">
        <v>198</v>
      </c>
      <c r="D322" s="45">
        <v>950</v>
      </c>
      <c r="E322" s="45">
        <v>0</v>
      </c>
      <c r="F322" s="47">
        <f t="shared" si="2"/>
        <v>189995</v>
      </c>
      <c r="G322" s="46"/>
      <c r="H322" s="19">
        <f>Table4[[#This Row],[Credit (₹)]]-Table4[[#This Row],[Debit (₹)]]</f>
        <v>-950</v>
      </c>
      <c r="I322" s="49" t="s">
        <v>6</v>
      </c>
      <c r="J322" s="18" t="str">
        <f>_xlfn.XLOOKUP(Table4[[#This Row],[Subcategory]],Categories[Subcategory],Categories[Category],"Add Subcategory")</f>
        <v>Food &amp; Daily Living</v>
      </c>
      <c r="K322" s="18" t="str">
        <f>_xlfn.XLOOKUP(Table4[[#This Row],[Subcategory]],Categories[Subcategory],Categories[Categorys Type],"Add Subcategory")</f>
        <v>Expense</v>
      </c>
    </row>
    <row r="323" spans="1:11" x14ac:dyDescent="0.3">
      <c r="A323" s="35" t="s">
        <v>284</v>
      </c>
      <c r="B323" s="36">
        <v>46152</v>
      </c>
      <c r="C323" s="37" t="s">
        <v>319</v>
      </c>
      <c r="D323" s="38">
        <v>699</v>
      </c>
      <c r="E323" s="38">
        <v>0</v>
      </c>
      <c r="F323" s="39">
        <f t="shared" si="2"/>
        <v>189296</v>
      </c>
      <c r="G323" s="40"/>
      <c r="H323" s="19">
        <f>Table4[[#This Row],[Credit (₹)]]-Table4[[#This Row],[Debit (₹)]]</f>
        <v>-699</v>
      </c>
      <c r="I323" s="49" t="s">
        <v>14</v>
      </c>
      <c r="J323" s="18" t="str">
        <f>_xlfn.XLOOKUP(Table4[[#This Row],[Subcategory]],Categories[Subcategory],Categories[Category],"Add Subcategory")</f>
        <v>Personal Care &amp; Lifestyle</v>
      </c>
      <c r="K323" s="18" t="str">
        <f>_xlfn.XLOOKUP(Table4[[#This Row],[Subcategory]],Categories[Subcategory],Categories[Categorys Type],"Add Subcategory")</f>
        <v>Expense</v>
      </c>
    </row>
    <row r="324" spans="1:11" x14ac:dyDescent="0.3">
      <c r="A324" s="42" t="s">
        <v>284</v>
      </c>
      <c r="B324" s="43">
        <v>46154</v>
      </c>
      <c r="C324" s="44" t="s">
        <v>374</v>
      </c>
      <c r="D324" s="45">
        <v>2000</v>
      </c>
      <c r="E324" s="45">
        <v>0</v>
      </c>
      <c r="F324" s="47">
        <f t="shared" si="2"/>
        <v>187296</v>
      </c>
      <c r="G324" s="46"/>
      <c r="H324" s="19">
        <f>Table4[[#This Row],[Credit (₹)]]-Table4[[#This Row],[Debit (₹)]]</f>
        <v>-2000</v>
      </c>
      <c r="I324" s="49" t="s">
        <v>409</v>
      </c>
      <c r="J324" s="18" t="str">
        <f>_xlfn.XLOOKUP(Table4[[#This Row],[Subcategory]],Categories[Subcategory],Categories[Category],"Add Subcategory")</f>
        <v>Saving</v>
      </c>
      <c r="K324" s="18" t="str">
        <f>_xlfn.XLOOKUP(Table4[[#This Row],[Subcategory]],Categories[Subcategory],Categories[Categorys Type],"Add Subcategory")</f>
        <v>Expense</v>
      </c>
    </row>
    <row r="325" spans="1:11" x14ac:dyDescent="0.3">
      <c r="A325" s="35" t="s">
        <v>284</v>
      </c>
      <c r="B325" s="36">
        <v>46157</v>
      </c>
      <c r="C325" s="37" t="s">
        <v>399</v>
      </c>
      <c r="D325" s="38">
        <v>15000</v>
      </c>
      <c r="E325" s="38">
        <v>0</v>
      </c>
      <c r="F325" s="39">
        <f t="shared" si="2"/>
        <v>172296</v>
      </c>
      <c r="G325" s="40" t="s">
        <v>400</v>
      </c>
      <c r="H325" s="19">
        <f>Table4[[#This Row],[Credit (₹)]]-Table4[[#This Row],[Debit (₹)]]</f>
        <v>-15000</v>
      </c>
      <c r="I325" s="49" t="s">
        <v>1</v>
      </c>
      <c r="J325" s="18" t="str">
        <f>_xlfn.XLOOKUP(Table4[[#This Row],[Subcategory]],Categories[Subcategory],Categories[Category],"Add Subcategory")</f>
        <v>Academic / Education Expenses</v>
      </c>
      <c r="K325" s="18" t="str">
        <f>_xlfn.XLOOKUP(Table4[[#This Row],[Subcategory]],Categories[Subcategory],Categories[Categorys Type],"Add Subcategory")</f>
        <v>Expense</v>
      </c>
    </row>
    <row r="326" spans="1:11" x14ac:dyDescent="0.3">
      <c r="A326" s="42" t="s">
        <v>284</v>
      </c>
      <c r="B326" s="43">
        <v>46164</v>
      </c>
      <c r="C326" s="44" t="s">
        <v>351</v>
      </c>
      <c r="D326" s="45">
        <v>1200</v>
      </c>
      <c r="E326" s="45">
        <v>0</v>
      </c>
      <c r="F326" s="47">
        <f t="shared" si="2"/>
        <v>171096</v>
      </c>
      <c r="G326" s="46"/>
      <c r="H326" s="19">
        <f>Table4[[#This Row],[Credit (₹)]]-Table4[[#This Row],[Debit (₹)]]</f>
        <v>-1200</v>
      </c>
      <c r="I326" s="49" t="s">
        <v>17</v>
      </c>
      <c r="J326" s="18" t="str">
        <f>_xlfn.XLOOKUP(Table4[[#This Row],[Subcategory]],Categories[Subcategory],Categories[Category],"Add Subcategory")</f>
        <v>Personal Care &amp; Lifestyle</v>
      </c>
      <c r="K326" s="18" t="str">
        <f>_xlfn.XLOOKUP(Table4[[#This Row],[Subcategory]],Categories[Subcategory],Categories[Categorys Type],"Add Subcategory")</f>
        <v>Expense</v>
      </c>
    </row>
    <row r="327" spans="1:11" x14ac:dyDescent="0.3">
      <c r="A327" s="35" t="s">
        <v>284</v>
      </c>
      <c r="B327" s="36">
        <v>46167</v>
      </c>
      <c r="C327" s="37" t="s">
        <v>309</v>
      </c>
      <c r="D327" s="38">
        <v>5000</v>
      </c>
      <c r="E327" s="38">
        <v>0</v>
      </c>
      <c r="F327" s="39">
        <f t="shared" si="2"/>
        <v>166096</v>
      </c>
      <c r="G327" s="40"/>
      <c r="H327" s="19">
        <f>Table4[[#This Row],[Credit (₹)]]-Table4[[#This Row],[Debit (₹)]]</f>
        <v>-5000</v>
      </c>
      <c r="I327" s="49" t="s">
        <v>34</v>
      </c>
      <c r="J327" s="18" t="str">
        <f>_xlfn.XLOOKUP(Table4[[#This Row],[Subcategory]],Categories[Subcategory],Categories[Category],"Add Subcategory")</f>
        <v>Family Support &amp; Financial Aid</v>
      </c>
      <c r="K327" s="18" t="str">
        <f>_xlfn.XLOOKUP(Table4[[#This Row],[Subcategory]],Categories[Subcategory],Categories[Categorys Type],"Add Subcategory")</f>
        <v>Income</v>
      </c>
    </row>
    <row r="328" spans="1:11" x14ac:dyDescent="0.3">
      <c r="A328" s="42" t="s">
        <v>284</v>
      </c>
      <c r="B328" s="43">
        <v>46170</v>
      </c>
      <c r="C328" s="44" t="s">
        <v>311</v>
      </c>
      <c r="D328" s="45">
        <v>3500</v>
      </c>
      <c r="E328" s="45">
        <v>0</v>
      </c>
      <c r="F328" s="47">
        <f t="shared" si="2"/>
        <v>162596</v>
      </c>
      <c r="G328" s="46"/>
      <c r="H328" s="19">
        <f>Table4[[#This Row],[Credit (₹)]]-Table4[[#This Row],[Debit (₹)]]</f>
        <v>-3500</v>
      </c>
      <c r="I328" s="49" t="s">
        <v>419</v>
      </c>
      <c r="J328" s="18" t="str">
        <f>_xlfn.XLOOKUP(Table4[[#This Row],[Subcategory]],Categories[Subcategory],Categories[Category],"Add Subcategory")</f>
        <v xml:space="preserve">Finance </v>
      </c>
      <c r="K328" s="18" t="str">
        <f>_xlfn.XLOOKUP(Table4[[#This Row],[Subcategory]],Categories[Subcategory],Categories[Categorys Type],"Add Subcategory")</f>
        <v>Expense</v>
      </c>
    </row>
    <row r="329" spans="1:11" x14ac:dyDescent="0.3">
      <c r="A329" s="35" t="s">
        <v>284</v>
      </c>
      <c r="B329" s="36">
        <v>46174</v>
      </c>
      <c r="C329" s="37" t="s">
        <v>401</v>
      </c>
      <c r="D329" s="38">
        <v>0</v>
      </c>
      <c r="E329" s="38">
        <v>55000</v>
      </c>
      <c r="F329" s="39">
        <f t="shared" si="2"/>
        <v>217596</v>
      </c>
      <c r="G329" s="40" t="s">
        <v>286</v>
      </c>
      <c r="H329" s="19">
        <f>Table4[[#This Row],[Credit (₹)]]-Table4[[#This Row],[Debit (₹)]]</f>
        <v>55000</v>
      </c>
      <c r="I329" s="48" t="s">
        <v>418</v>
      </c>
      <c r="J329" s="18" t="str">
        <f>_xlfn.XLOOKUP(Table4[[#This Row],[Subcategory]],Categories[Subcategory],Categories[Category],"Add Subcategory")</f>
        <v>Salary</v>
      </c>
      <c r="K329" s="18" t="str">
        <f>_xlfn.XLOOKUP(Table4[[#This Row],[Subcategory]],Categories[Subcategory],Categories[Categorys Type],"Add Subcategory")</f>
        <v>Income</v>
      </c>
    </row>
    <row r="330" spans="1:11" x14ac:dyDescent="0.3">
      <c r="A330" s="42" t="s">
        <v>284</v>
      </c>
      <c r="B330" s="43">
        <v>46174</v>
      </c>
      <c r="C330" s="44" t="s">
        <v>287</v>
      </c>
      <c r="D330" s="45">
        <v>6000</v>
      </c>
      <c r="E330" s="45">
        <v>0</v>
      </c>
      <c r="F330" s="47">
        <f t="shared" si="2"/>
        <v>211596</v>
      </c>
      <c r="G330" s="46"/>
      <c r="H330" s="19">
        <f>Table4[[#This Row],[Credit (₹)]]-Table4[[#This Row],[Debit (₹)]]</f>
        <v>-6000</v>
      </c>
      <c r="I330" s="49" t="s">
        <v>409</v>
      </c>
      <c r="J330" s="18" t="str">
        <f>_xlfn.XLOOKUP(Table4[[#This Row],[Subcategory]],Categories[Subcategory],Categories[Category],"Add Subcategory")</f>
        <v>Saving</v>
      </c>
      <c r="K330" s="18" t="str">
        <f>_xlfn.XLOOKUP(Table4[[#This Row],[Subcategory]],Categories[Subcategory],Categories[Categorys Type],"Add Subcategory")</f>
        <v>Expense</v>
      </c>
    </row>
    <row r="331" spans="1:11" x14ac:dyDescent="0.3">
      <c r="A331" s="35" t="s">
        <v>284</v>
      </c>
      <c r="B331" s="36">
        <v>46175</v>
      </c>
      <c r="C331" s="37" t="s">
        <v>402</v>
      </c>
      <c r="D331" s="38">
        <v>12000</v>
      </c>
      <c r="E331" s="38">
        <v>0</v>
      </c>
      <c r="F331" s="39">
        <f t="shared" si="2"/>
        <v>199596</v>
      </c>
      <c r="G331" s="40"/>
      <c r="H331" s="19">
        <f>Table4[[#This Row],[Credit (₹)]]-Table4[[#This Row],[Debit (₹)]]</f>
        <v>-12000</v>
      </c>
      <c r="I331" s="49" t="s">
        <v>413</v>
      </c>
      <c r="J331" s="18" t="str">
        <f>_xlfn.XLOOKUP(Table4[[#This Row],[Subcategory]],Categories[Subcategory],Categories[Category],"Add Subcategory")</f>
        <v>Accommodation &amp; Utilities</v>
      </c>
      <c r="K331" s="18" t="str">
        <f>_xlfn.XLOOKUP(Table4[[#This Row],[Subcategory]],Categories[Subcategory],Categories[Categorys Type],"Add Subcategory")</f>
        <v>Expense</v>
      </c>
    </row>
    <row r="332" spans="1:11" x14ac:dyDescent="0.3">
      <c r="A332" s="42" t="s">
        <v>284</v>
      </c>
      <c r="B332" s="43">
        <v>46176</v>
      </c>
      <c r="C332" s="44" t="s">
        <v>66</v>
      </c>
      <c r="D332" s="45">
        <v>1150</v>
      </c>
      <c r="E332" s="45">
        <v>0</v>
      </c>
      <c r="F332" s="47">
        <f t="shared" si="2"/>
        <v>198446</v>
      </c>
      <c r="G332" s="46"/>
      <c r="H332" s="19">
        <f>Table4[[#This Row],[Credit (₹)]]-Table4[[#This Row],[Debit (₹)]]</f>
        <v>-1150</v>
      </c>
      <c r="I332" s="49" t="s">
        <v>4</v>
      </c>
      <c r="J332" s="18" t="str">
        <f>_xlfn.XLOOKUP(Table4[[#This Row],[Subcategory]],Categories[Subcategory],Categories[Category],"Add Subcategory")</f>
        <v>Accommodation &amp; Utilities</v>
      </c>
      <c r="K332" s="18" t="str">
        <f>_xlfn.XLOOKUP(Table4[[#This Row],[Subcategory]],Categories[Subcategory],Categories[Categorys Type],"Add Subcategory")</f>
        <v>Expense</v>
      </c>
    </row>
    <row r="333" spans="1:11" x14ac:dyDescent="0.3">
      <c r="A333" s="35" t="s">
        <v>284</v>
      </c>
      <c r="B333" s="36">
        <v>46178</v>
      </c>
      <c r="C333" s="37" t="s">
        <v>329</v>
      </c>
      <c r="D333" s="38">
        <v>1850</v>
      </c>
      <c r="E333" s="38">
        <v>0</v>
      </c>
      <c r="F333" s="39">
        <f t="shared" si="2"/>
        <v>196596</v>
      </c>
      <c r="G333" s="40"/>
      <c r="H333" s="19">
        <f>Table4[[#This Row],[Credit (₹)]]-Table4[[#This Row],[Debit (₹)]]</f>
        <v>-1850</v>
      </c>
      <c r="I333" s="49" t="s">
        <v>6</v>
      </c>
      <c r="J333" s="18" t="str">
        <f>_xlfn.XLOOKUP(Table4[[#This Row],[Subcategory]],Categories[Subcategory],Categories[Category],"Add Subcategory")</f>
        <v>Food &amp; Daily Living</v>
      </c>
      <c r="K333" s="18" t="str">
        <f>_xlfn.XLOOKUP(Table4[[#This Row],[Subcategory]],Categories[Subcategory],Categories[Categorys Type],"Add Subcategory")</f>
        <v>Expense</v>
      </c>
    </row>
    <row r="334" spans="1:11" x14ac:dyDescent="0.3">
      <c r="A334" s="42" t="s">
        <v>284</v>
      </c>
      <c r="B334" s="43">
        <v>46178</v>
      </c>
      <c r="C334" s="44" t="s">
        <v>330</v>
      </c>
      <c r="D334" s="45">
        <v>4000</v>
      </c>
      <c r="E334" s="45">
        <v>0</v>
      </c>
      <c r="F334" s="47">
        <f t="shared" si="2"/>
        <v>192596</v>
      </c>
      <c r="G334" s="46"/>
      <c r="H334" s="19">
        <f>Table4[[#This Row],[Credit (₹)]]-Table4[[#This Row],[Debit (₹)]]</f>
        <v>-4000</v>
      </c>
      <c r="I334" s="50" t="s">
        <v>409</v>
      </c>
      <c r="J334" s="18" t="str">
        <f>_xlfn.XLOOKUP(Table4[[#This Row],[Subcategory]],Categories[Subcategory],Categories[Category],"Add Subcategory")</f>
        <v>Saving</v>
      </c>
      <c r="K334" s="18" t="str">
        <f>_xlfn.XLOOKUP(Table4[[#This Row],[Subcategory]],Categories[Subcategory],Categories[Categorys Type],"Add Subcategory")</f>
        <v>Expense</v>
      </c>
    </row>
    <row r="335" spans="1:11" x14ac:dyDescent="0.3">
      <c r="A335" s="35" t="s">
        <v>284</v>
      </c>
      <c r="B335" s="36">
        <v>46181</v>
      </c>
      <c r="C335" s="37" t="s">
        <v>198</v>
      </c>
      <c r="D335" s="38">
        <v>900</v>
      </c>
      <c r="E335" s="38">
        <v>0</v>
      </c>
      <c r="F335" s="39">
        <f t="shared" si="2"/>
        <v>191696</v>
      </c>
      <c r="G335" s="40"/>
      <c r="H335" s="19">
        <f>Table4[[#This Row],[Credit (₹)]]-Table4[[#This Row],[Debit (₹)]]</f>
        <v>-900</v>
      </c>
      <c r="I335" s="49" t="s">
        <v>6</v>
      </c>
      <c r="J335" s="18" t="str">
        <f>_xlfn.XLOOKUP(Table4[[#This Row],[Subcategory]],Categories[Subcategory],Categories[Category],"Add Subcategory")</f>
        <v>Food &amp; Daily Living</v>
      </c>
      <c r="K335" s="18" t="str">
        <f>_xlfn.XLOOKUP(Table4[[#This Row],[Subcategory]],Categories[Subcategory],Categories[Categorys Type],"Add Subcategory")</f>
        <v>Expense</v>
      </c>
    </row>
    <row r="336" spans="1:11" x14ac:dyDescent="0.3">
      <c r="A336" s="42" t="s">
        <v>284</v>
      </c>
      <c r="B336" s="43">
        <v>46183</v>
      </c>
      <c r="C336" s="44" t="s">
        <v>319</v>
      </c>
      <c r="D336" s="45">
        <v>699</v>
      </c>
      <c r="E336" s="45">
        <v>0</v>
      </c>
      <c r="F336" s="47">
        <f t="shared" si="2"/>
        <v>190997</v>
      </c>
      <c r="G336" s="46"/>
      <c r="H336" s="19">
        <f>Table4[[#This Row],[Credit (₹)]]-Table4[[#This Row],[Debit (₹)]]</f>
        <v>-699</v>
      </c>
      <c r="I336" s="49" t="s">
        <v>14</v>
      </c>
      <c r="J336" s="18" t="str">
        <f>_xlfn.XLOOKUP(Table4[[#This Row],[Subcategory]],Categories[Subcategory],Categories[Category],"Add Subcategory")</f>
        <v>Personal Care &amp; Lifestyle</v>
      </c>
      <c r="K336" s="18" t="str">
        <f>_xlfn.XLOOKUP(Table4[[#This Row],[Subcategory]],Categories[Subcategory],Categories[Categorys Type],"Add Subcategory")</f>
        <v>Expense</v>
      </c>
    </row>
    <row r="337" spans="1:11" x14ac:dyDescent="0.3">
      <c r="A337" s="35" t="s">
        <v>284</v>
      </c>
      <c r="B337" s="36">
        <v>46185</v>
      </c>
      <c r="C337" s="37" t="s">
        <v>374</v>
      </c>
      <c r="D337" s="38">
        <v>2000</v>
      </c>
      <c r="E337" s="38">
        <v>0</v>
      </c>
      <c r="F337" s="39">
        <f t="shared" si="2"/>
        <v>188997</v>
      </c>
      <c r="G337" s="40"/>
      <c r="H337" s="19">
        <f>Table4[[#This Row],[Credit (₹)]]-Table4[[#This Row],[Debit (₹)]]</f>
        <v>-2000</v>
      </c>
      <c r="I337" s="49" t="s">
        <v>409</v>
      </c>
      <c r="J337" s="18" t="str">
        <f>_xlfn.XLOOKUP(Table4[[#This Row],[Subcategory]],Categories[Subcategory],Categories[Category],"Add Subcategory")</f>
        <v>Saving</v>
      </c>
      <c r="K337" s="18" t="str">
        <f>_xlfn.XLOOKUP(Table4[[#This Row],[Subcategory]],Categories[Subcategory],Categories[Categorys Type],"Add Subcategory")</f>
        <v>Expense</v>
      </c>
    </row>
    <row r="338" spans="1:11" x14ac:dyDescent="0.3">
      <c r="A338" s="42" t="s">
        <v>284</v>
      </c>
      <c r="B338" s="43">
        <v>46188</v>
      </c>
      <c r="C338" s="44" t="s">
        <v>403</v>
      </c>
      <c r="D338" s="45">
        <v>0</v>
      </c>
      <c r="E338" s="45">
        <v>10000</v>
      </c>
      <c r="F338" s="47">
        <f t="shared" si="2"/>
        <v>198997</v>
      </c>
      <c r="G338" s="46" t="s">
        <v>404</v>
      </c>
      <c r="H338" s="19">
        <f>Table4[[#This Row],[Credit (₹)]]-Table4[[#This Row],[Debit (₹)]]</f>
        <v>10000</v>
      </c>
      <c r="I338" s="48" t="s">
        <v>37</v>
      </c>
      <c r="J338" s="18" t="str">
        <f>_xlfn.XLOOKUP(Table4[[#This Row],[Subcategory]],Categories[Subcategory],Categories[Category],"Add Subcategory")</f>
        <v>Earnings &amp; Work Income</v>
      </c>
      <c r="K338" s="18" t="str">
        <f>_xlfn.XLOOKUP(Table4[[#This Row],[Subcategory]],Categories[Subcategory],Categories[Categorys Type],"Add Subcategory")</f>
        <v>Income</v>
      </c>
    </row>
    <row r="339" spans="1:11" x14ac:dyDescent="0.3">
      <c r="A339" s="35" t="s">
        <v>284</v>
      </c>
      <c r="B339" s="36">
        <v>46191</v>
      </c>
      <c r="C339" s="37" t="s">
        <v>405</v>
      </c>
      <c r="D339" s="38">
        <v>1499</v>
      </c>
      <c r="E339" s="38">
        <v>0</v>
      </c>
      <c r="F339" s="39">
        <f t="shared" si="2"/>
        <v>197498</v>
      </c>
      <c r="G339" s="40" t="s">
        <v>406</v>
      </c>
      <c r="H339" s="19">
        <f>Table4[[#This Row],[Credit (₹)]]-Table4[[#This Row],[Debit (₹)]]</f>
        <v>-1499</v>
      </c>
      <c r="I339" s="49" t="s">
        <v>23</v>
      </c>
      <c r="J339" s="18" t="str">
        <f>_xlfn.XLOOKUP(Table4[[#This Row],[Subcategory]],Categories[Subcategory],Categories[Category],"Add Subcategory")</f>
        <v>Other Expences</v>
      </c>
      <c r="K339" s="18" t="str">
        <f>_xlfn.XLOOKUP(Table4[[#This Row],[Subcategory]],Categories[Subcategory],Categories[Categorys Type],"Add Subcategory")</f>
        <v>Expense</v>
      </c>
    </row>
    <row r="340" spans="1:11" x14ac:dyDescent="0.3">
      <c r="A340" s="42" t="s">
        <v>284</v>
      </c>
      <c r="B340" s="43">
        <v>46195</v>
      </c>
      <c r="C340" s="44" t="s">
        <v>351</v>
      </c>
      <c r="D340" s="45">
        <v>1200</v>
      </c>
      <c r="E340" s="45">
        <v>0</v>
      </c>
      <c r="F340" s="47">
        <f t="shared" si="2"/>
        <v>196298</v>
      </c>
      <c r="G340" s="46"/>
      <c r="H340" s="19">
        <f>Table4[[#This Row],[Credit (₹)]]-Table4[[#This Row],[Debit (₹)]]</f>
        <v>-1200</v>
      </c>
      <c r="I340" s="49" t="s">
        <v>17</v>
      </c>
      <c r="J340" s="18" t="str">
        <f>_xlfn.XLOOKUP(Table4[[#This Row],[Subcategory]],Categories[Subcategory],Categories[Category],"Add Subcategory")</f>
        <v>Personal Care &amp; Lifestyle</v>
      </c>
      <c r="K340" s="18" t="str">
        <f>_xlfn.XLOOKUP(Table4[[#This Row],[Subcategory]],Categories[Subcategory],Categories[Categorys Type],"Add Subcategory")</f>
        <v>Expense</v>
      </c>
    </row>
    <row r="341" spans="1:11" x14ac:dyDescent="0.3">
      <c r="A341" s="35" t="s">
        <v>284</v>
      </c>
      <c r="B341" s="36">
        <v>46198</v>
      </c>
      <c r="C341" s="37" t="s">
        <v>309</v>
      </c>
      <c r="D341" s="38">
        <v>5000</v>
      </c>
      <c r="E341" s="38">
        <v>0</v>
      </c>
      <c r="F341" s="39">
        <f t="shared" si="2"/>
        <v>191298</v>
      </c>
      <c r="G341" s="40"/>
      <c r="H341" s="19">
        <f>Table4[[#This Row],[Credit (₹)]]-Table4[[#This Row],[Debit (₹)]]</f>
        <v>-5000</v>
      </c>
      <c r="I341" s="49" t="s">
        <v>34</v>
      </c>
      <c r="J341" s="18" t="str">
        <f>_xlfn.XLOOKUP(Table4[[#This Row],[Subcategory]],Categories[Subcategory],Categories[Category],"Add Subcategory")</f>
        <v>Family Support &amp; Financial Aid</v>
      </c>
      <c r="K341" s="18" t="str">
        <f>_xlfn.XLOOKUP(Table4[[#This Row],[Subcategory]],Categories[Subcategory],Categories[Categorys Type],"Add Subcategory")</f>
        <v>Income</v>
      </c>
    </row>
    <row r="342" spans="1:11" x14ac:dyDescent="0.3">
      <c r="A342" s="42" t="s">
        <v>284</v>
      </c>
      <c r="B342" s="43">
        <v>46201</v>
      </c>
      <c r="C342" s="44" t="s">
        <v>311</v>
      </c>
      <c r="D342" s="45">
        <v>3500</v>
      </c>
      <c r="E342" s="45">
        <v>0</v>
      </c>
      <c r="F342" s="47">
        <f t="shared" si="2"/>
        <v>187798</v>
      </c>
      <c r="G342" s="46"/>
      <c r="H342" s="19">
        <f>Table4[[#This Row],[Credit (₹)]]-Table4[[#This Row],[Debit (₹)]]</f>
        <v>-3500</v>
      </c>
      <c r="I342" s="49" t="s">
        <v>419</v>
      </c>
      <c r="J342" s="18" t="str">
        <f>_xlfn.XLOOKUP(Table4[[#This Row],[Subcategory]],Categories[Subcategory],Categories[Category],"Add Subcategory")</f>
        <v xml:space="preserve">Finance </v>
      </c>
      <c r="K342" s="18" t="str">
        <f>_xlfn.XLOOKUP(Table4[[#This Row],[Subcategory]],Categories[Subcategory],Categories[Categorys Type],"Add Subcategory")</f>
        <v>Expense</v>
      </c>
    </row>
    <row r="343" spans="1:11" x14ac:dyDescent="0.3">
      <c r="A343" s="35" t="s">
        <v>284</v>
      </c>
      <c r="B343" s="36">
        <v>46203</v>
      </c>
      <c r="C343" s="37" t="s">
        <v>407</v>
      </c>
      <c r="D343" s="38">
        <v>0</v>
      </c>
      <c r="E343" s="38">
        <v>225</v>
      </c>
      <c r="F343" s="39">
        <f t="shared" si="2"/>
        <v>188023</v>
      </c>
      <c r="G343" s="40" t="s">
        <v>371</v>
      </c>
      <c r="H343" s="30">
        <f>Table4[[#This Row],[Credit (₹)]]-Table4[[#This Row],[Debit (₹)]]</f>
        <v>225</v>
      </c>
      <c r="I343" s="48" t="s">
        <v>38</v>
      </c>
      <c r="J343" s="32" t="str">
        <f>_xlfn.XLOOKUP(Table4[[#This Row],[Subcategory]],Categories[Subcategory],Categories[Category],"Add Subcategory")</f>
        <v>Refunds &amp; Adjustments</v>
      </c>
      <c r="K343" s="32" t="str">
        <f>_xlfn.XLOOKUP(Table4[[#This Row],[Subcategory]],Categories[Subcategory],Categories[Categorys Type],"Add Subcategory")</f>
        <v>Income</v>
      </c>
    </row>
  </sheetData>
  <dataValidations count="1">
    <dataValidation type="list" allowBlank="1" showInputMessage="1" showErrorMessage="1" sqref="I1:I1048576" xr:uid="{00000000-0002-0000-0100-000000000000}">
      <formula1>Subcategories</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37"/>
  <sheetViews>
    <sheetView topLeftCell="A24" zoomScale="118" zoomScaleNormal="75" workbookViewId="0">
      <selection activeCell="B40" sqref="B40"/>
    </sheetView>
  </sheetViews>
  <sheetFormatPr defaultRowHeight="14.4" x14ac:dyDescent="0.3"/>
  <cols>
    <col min="1" max="1" width="27" bestFit="1" customWidth="1"/>
    <col min="2" max="2" width="29.77734375" bestFit="1" customWidth="1"/>
    <col min="3" max="3" width="15.109375" customWidth="1"/>
  </cols>
  <sheetData>
    <row r="3" spans="1:3" x14ac:dyDescent="0.3">
      <c r="A3" s="3" t="s">
        <v>160</v>
      </c>
      <c r="B3" s="3" t="s">
        <v>261</v>
      </c>
      <c r="C3" s="3" t="s">
        <v>33</v>
      </c>
    </row>
    <row r="4" spans="1:3" x14ac:dyDescent="0.3">
      <c r="A4" t="s">
        <v>25</v>
      </c>
      <c r="B4" s="1" t="s">
        <v>0</v>
      </c>
      <c r="C4" s="4" t="s">
        <v>24</v>
      </c>
    </row>
    <row r="5" spans="1:3" x14ac:dyDescent="0.3">
      <c r="A5" t="s">
        <v>25</v>
      </c>
      <c r="B5" s="2" t="s">
        <v>1</v>
      </c>
      <c r="C5" s="5" t="s">
        <v>24</v>
      </c>
    </row>
    <row r="6" spans="1:3" x14ac:dyDescent="0.3">
      <c r="A6" t="s">
        <v>25</v>
      </c>
      <c r="B6" s="1" t="s">
        <v>2</v>
      </c>
      <c r="C6" s="4" t="s">
        <v>24</v>
      </c>
    </row>
    <row r="7" spans="1:3" x14ac:dyDescent="0.3">
      <c r="A7" t="s">
        <v>26</v>
      </c>
      <c r="B7" s="2" t="s">
        <v>3</v>
      </c>
      <c r="C7" s="5" t="s">
        <v>24</v>
      </c>
    </row>
    <row r="8" spans="1:3" x14ac:dyDescent="0.3">
      <c r="A8" t="s">
        <v>26</v>
      </c>
      <c r="B8" s="1" t="s">
        <v>4</v>
      </c>
      <c r="C8" s="4" t="s">
        <v>24</v>
      </c>
    </row>
    <row r="9" spans="1:3" x14ac:dyDescent="0.3">
      <c r="A9" t="s">
        <v>27</v>
      </c>
      <c r="B9" s="2" t="s">
        <v>5</v>
      </c>
      <c r="C9" s="5" t="s">
        <v>24</v>
      </c>
    </row>
    <row r="10" spans="1:3" x14ac:dyDescent="0.3">
      <c r="A10" t="s">
        <v>27</v>
      </c>
      <c r="B10" s="1" t="s">
        <v>6</v>
      </c>
      <c r="C10" s="4" t="s">
        <v>24</v>
      </c>
    </row>
    <row r="11" spans="1:3" x14ac:dyDescent="0.3">
      <c r="A11" t="s">
        <v>25</v>
      </c>
      <c r="B11" s="2" t="s">
        <v>7</v>
      </c>
      <c r="C11" s="5" t="s">
        <v>24</v>
      </c>
    </row>
    <row r="12" spans="1:3" x14ac:dyDescent="0.3">
      <c r="A12" t="s">
        <v>25</v>
      </c>
      <c r="B12" s="1" t="s">
        <v>8</v>
      </c>
      <c r="C12" s="4" t="s">
        <v>24</v>
      </c>
    </row>
    <row r="13" spans="1:3" x14ac:dyDescent="0.3">
      <c r="A13" t="s">
        <v>25</v>
      </c>
      <c r="B13" s="2" t="s">
        <v>9</v>
      </c>
      <c r="C13" s="5" t="s">
        <v>24</v>
      </c>
    </row>
    <row r="14" spans="1:3" x14ac:dyDescent="0.3">
      <c r="A14" t="s">
        <v>28</v>
      </c>
      <c r="B14" s="1" t="s">
        <v>10</v>
      </c>
      <c r="C14" s="4" t="s">
        <v>24</v>
      </c>
    </row>
    <row r="15" spans="1:3" x14ac:dyDescent="0.3">
      <c r="A15" t="s">
        <v>28</v>
      </c>
      <c r="B15" s="2" t="s">
        <v>11</v>
      </c>
      <c r="C15" s="5" t="s">
        <v>24</v>
      </c>
    </row>
    <row r="16" spans="1:3" x14ac:dyDescent="0.3">
      <c r="A16" t="s">
        <v>29</v>
      </c>
      <c r="B16" s="1" t="s">
        <v>12</v>
      </c>
      <c r="C16" s="4" t="s">
        <v>24</v>
      </c>
    </row>
    <row r="17" spans="1:3" x14ac:dyDescent="0.3">
      <c r="A17" t="s">
        <v>29</v>
      </c>
      <c r="B17" s="2" t="s">
        <v>13</v>
      </c>
      <c r="C17" s="5" t="s">
        <v>24</v>
      </c>
    </row>
    <row r="18" spans="1:3" x14ac:dyDescent="0.3">
      <c r="A18" t="s">
        <v>29</v>
      </c>
      <c r="B18" s="1" t="s">
        <v>14</v>
      </c>
      <c r="C18" s="4" t="s">
        <v>24</v>
      </c>
    </row>
    <row r="19" spans="1:3" x14ac:dyDescent="0.3">
      <c r="A19" t="s">
        <v>30</v>
      </c>
      <c r="B19" s="2" t="s">
        <v>15</v>
      </c>
      <c r="C19" s="5" t="s">
        <v>24</v>
      </c>
    </row>
    <row r="20" spans="1:3" x14ac:dyDescent="0.3">
      <c r="A20" t="s">
        <v>30</v>
      </c>
      <c r="B20" s="1" t="s">
        <v>16</v>
      </c>
      <c r="C20" s="4" t="s">
        <v>24</v>
      </c>
    </row>
    <row r="21" spans="1:3" x14ac:dyDescent="0.3">
      <c r="A21" t="s">
        <v>29</v>
      </c>
      <c r="B21" s="2" t="s">
        <v>17</v>
      </c>
      <c r="C21" s="5" t="s">
        <v>24</v>
      </c>
    </row>
    <row r="22" spans="1:3" x14ac:dyDescent="0.3">
      <c r="A22" t="s">
        <v>25</v>
      </c>
      <c r="B22" s="1" t="s">
        <v>18</v>
      </c>
      <c r="C22" s="4" t="s">
        <v>24</v>
      </c>
    </row>
    <row r="23" spans="1:3" x14ac:dyDescent="0.3">
      <c r="A23" t="s">
        <v>25</v>
      </c>
      <c r="B23" s="2" t="s">
        <v>19</v>
      </c>
      <c r="C23" s="5" t="s">
        <v>24</v>
      </c>
    </row>
    <row r="24" spans="1:3" x14ac:dyDescent="0.3">
      <c r="A24" t="s">
        <v>29</v>
      </c>
      <c r="B24" s="1" t="s">
        <v>20</v>
      </c>
      <c r="C24" s="4" t="s">
        <v>24</v>
      </c>
    </row>
    <row r="25" spans="1:3" x14ac:dyDescent="0.3">
      <c r="A25" t="s">
        <v>31</v>
      </c>
      <c r="B25" s="2" t="s">
        <v>21</v>
      </c>
      <c r="C25" s="5" t="s">
        <v>24</v>
      </c>
    </row>
    <row r="26" spans="1:3" x14ac:dyDescent="0.3">
      <c r="A26" t="s">
        <v>32</v>
      </c>
      <c r="B26" s="1" t="s">
        <v>22</v>
      </c>
      <c r="C26" s="4" t="s">
        <v>24</v>
      </c>
    </row>
    <row r="27" spans="1:3" x14ac:dyDescent="0.3">
      <c r="A27" t="s">
        <v>32</v>
      </c>
      <c r="B27" s="2" t="s">
        <v>23</v>
      </c>
      <c r="C27" s="5" t="s">
        <v>24</v>
      </c>
    </row>
    <row r="28" spans="1:3" x14ac:dyDescent="0.3">
      <c r="A28" t="s">
        <v>40</v>
      </c>
      <c r="B28" s="6" t="s">
        <v>34</v>
      </c>
      <c r="C28" s="8" t="s">
        <v>41</v>
      </c>
    </row>
    <row r="29" spans="1:3" x14ac:dyDescent="0.3">
      <c r="A29" t="s">
        <v>40</v>
      </c>
      <c r="B29" s="7" t="s">
        <v>35</v>
      </c>
      <c r="C29" s="8" t="s">
        <v>41</v>
      </c>
    </row>
    <row r="30" spans="1:3" x14ac:dyDescent="0.3">
      <c r="A30" t="s">
        <v>40</v>
      </c>
      <c r="B30" s="6" t="s">
        <v>36</v>
      </c>
      <c r="C30" s="8" t="s">
        <v>41</v>
      </c>
    </row>
    <row r="31" spans="1:3" x14ac:dyDescent="0.3">
      <c r="A31" t="s">
        <v>39</v>
      </c>
      <c r="B31" s="6" t="s">
        <v>37</v>
      </c>
      <c r="C31" s="8" t="s">
        <v>41</v>
      </c>
    </row>
    <row r="32" spans="1:3" x14ac:dyDescent="0.3">
      <c r="A32" t="s">
        <v>42</v>
      </c>
      <c r="B32" s="7" t="s">
        <v>38</v>
      </c>
      <c r="C32" s="8" t="s">
        <v>41</v>
      </c>
    </row>
    <row r="33" spans="1:3" x14ac:dyDescent="0.3">
      <c r="A33" s="31" t="s">
        <v>408</v>
      </c>
      <c r="B33" s="41" t="s">
        <v>418</v>
      </c>
      <c r="C33" s="33" t="s">
        <v>41</v>
      </c>
    </row>
    <row r="34" spans="1:3" x14ac:dyDescent="0.3">
      <c r="A34" s="31" t="s">
        <v>166</v>
      </c>
      <c r="B34" s="34" t="s">
        <v>409</v>
      </c>
      <c r="C34" s="33" t="s">
        <v>24</v>
      </c>
    </row>
    <row r="35" spans="1:3" x14ac:dyDescent="0.3">
      <c r="A35" s="31" t="s">
        <v>411</v>
      </c>
      <c r="B35" s="41" t="s">
        <v>412</v>
      </c>
      <c r="C35" s="8" t="s">
        <v>24</v>
      </c>
    </row>
    <row r="36" spans="1:3" x14ac:dyDescent="0.3">
      <c r="A36" s="31" t="s">
        <v>26</v>
      </c>
      <c r="B36" s="41" t="s">
        <v>413</v>
      </c>
      <c r="C36" s="8" t="s">
        <v>24</v>
      </c>
    </row>
    <row r="37" spans="1:3" x14ac:dyDescent="0.3">
      <c r="A37" s="31" t="s">
        <v>28</v>
      </c>
      <c r="B37" s="41" t="s">
        <v>410</v>
      </c>
      <c r="C37" s="8" t="s">
        <v>24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Report</vt:lpstr>
      <vt:lpstr>Bank Statement</vt:lpstr>
      <vt:lpstr>Category</vt:lpstr>
      <vt:lpstr>Subcategories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2026-05-26T03:33:39Z</dcterms:modified>
</cp:coreProperties>
</file>